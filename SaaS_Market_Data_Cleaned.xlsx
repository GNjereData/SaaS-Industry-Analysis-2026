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chinoyanjere/Downloads/"/>
    </mc:Choice>
  </mc:AlternateContent>
  <xr:revisionPtr revIDLastSave="0" documentId="13_ncr:1_{D34D1235-CB37-D448-B79F-192B0FFC92AD}" xr6:coauthVersionLast="47" xr6:coauthVersionMax="47" xr10:uidLastSave="{00000000-0000-0000-0000-000000000000}"/>
  <bookViews>
    <workbookView xWindow="0" yWindow="600" windowWidth="25600" windowHeight="14220" activeTab="1" xr2:uid="{4F912CB5-97AF-8F44-96B3-2D14F940366A}"/>
  </bookViews>
  <sheets>
    <sheet name="Company_Valuations" sheetId="3" r:id="rId1"/>
    <sheet name="SaaS_Final_Cleaned" sheetId="1" r:id="rId2"/>
  </sheets>
  <definedNames>
    <definedName name="Slicer_HQ">#N/A</definedName>
    <definedName name="Slicer_Industry">#N/A</definedName>
  </definedNames>
  <calcPr calcId="191029"/>
  <pivotCaches>
    <pivotCache cacheId="1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alcChain>
</file>

<file path=xl/sharedStrings.xml><?xml version="1.0" encoding="utf-8"?>
<sst xmlns="http://schemas.openxmlformats.org/spreadsheetml/2006/main" count="904" uniqueCount="641">
  <si>
    <t>Company Name</t>
  </si>
  <si>
    <t>Founded Year</t>
  </si>
  <si>
    <t>HQ</t>
  </si>
  <si>
    <t>Industry</t>
  </si>
  <si>
    <t>Total Funding</t>
  </si>
  <si>
    <t>ARR</t>
  </si>
  <si>
    <t>Valuation</t>
  </si>
  <si>
    <t>Valuation (Cleaned)</t>
  </si>
  <si>
    <t>Employees</t>
  </si>
  <si>
    <t>Top Investors</t>
  </si>
  <si>
    <t>Product</t>
  </si>
  <si>
    <t>G2 Rating</t>
  </si>
  <si>
    <t>ARR_Numeric</t>
  </si>
  <si>
    <t>Valuation_Numeric</t>
  </si>
  <si>
    <t>Funding_Numeric</t>
  </si>
  <si>
    <t>Employees_Numeric</t>
  </si>
  <si>
    <t>Revenue_per_Employee</t>
  </si>
  <si>
    <t>Microsoft</t>
  </si>
  <si>
    <t>Redmond, WA, USA</t>
  </si>
  <si>
    <t>Enterprise Software</t>
  </si>
  <si>
    <t>$1B</t>
  </si>
  <si>
    <t>$270B</t>
  </si>
  <si>
    <t>$3T</t>
  </si>
  <si>
    <t>Bill Gates, Paul Allen</t>
  </si>
  <si>
    <t>Azure, Office 365, Teams</t>
  </si>
  <si>
    <t>Salesforce</t>
  </si>
  <si>
    <t>San Francisco, CA, USA</t>
  </si>
  <si>
    <t>CRM</t>
  </si>
  <si>
    <t>$65.4M</t>
  </si>
  <si>
    <t>$37.9B</t>
  </si>
  <si>
    <t>$227.8B</t>
  </si>
  <si>
    <t>Halsey Minor, Larry Ellison</t>
  </si>
  <si>
    <t>Sales Cloud, Service Cloud</t>
  </si>
  <si>
    <t>Adobe</t>
  </si>
  <si>
    <t>San Jose, CA, USA</t>
  </si>
  <si>
    <t>Creative Software</t>
  </si>
  <si>
    <t>$2.5M</t>
  </si>
  <si>
    <t>$19.4B</t>
  </si>
  <si>
    <t>$240B</t>
  </si>
  <si>
    <t>Hambrecht &amp; Quist</t>
  </si>
  <si>
    <t>Creative Cloud, Document Cloud</t>
  </si>
  <si>
    <t>Oracle</t>
  </si>
  <si>
    <t>Austin, TX, USA</t>
  </si>
  <si>
    <t>Database &amp; Enterprise</t>
  </si>
  <si>
    <t>$2K</t>
  </si>
  <si>
    <t>$52.9B</t>
  </si>
  <si>
    <t>$350B</t>
  </si>
  <si>
    <t>Larry Ellison, Bob Miner</t>
  </si>
  <si>
    <t>Oracle Cloud, NetSuite</t>
  </si>
  <si>
    <t>SAP</t>
  </si>
  <si>
    <t>Walldorf, Germany</t>
  </si>
  <si>
    <t>$32.5B</t>
  </si>
  <si>
    <t>$215B</t>
  </si>
  <si>
    <t>Dietmar Hopp, Klaus Tschira</t>
  </si>
  <si>
    <t>S/4HANA, SuccessFactors</t>
  </si>
  <si>
    <t>Intuit</t>
  </si>
  <si>
    <t>Mountain View, CA, USA</t>
  </si>
  <si>
    <t>Financial Software</t>
  </si>
  <si>
    <t>$273M</t>
  </si>
  <si>
    <t>$14.4B</t>
  </si>
  <si>
    <t>$180B</t>
  </si>
  <si>
    <t>Sierra Ventures, Kleiner Perkins</t>
  </si>
  <si>
    <t>QuickBooks, TurboTax</t>
  </si>
  <si>
    <t>ServiceNow</t>
  </si>
  <si>
    <t>Santa Clara, CA, USA</t>
  </si>
  <si>
    <t>IT Service Management</t>
  </si>
  <si>
    <t>$82.5M</t>
  </si>
  <si>
    <t>$8.9B</t>
  </si>
  <si>
    <t>$147B</t>
  </si>
  <si>
    <t>JMI Equity, Sequoia Capital</t>
  </si>
  <si>
    <t>IT Service Management Platform</t>
  </si>
  <si>
    <t>Workday</t>
  </si>
  <si>
    <t>Pleasanton, CA, USA</t>
  </si>
  <si>
    <t>HR &amp; Finance</t>
  </si>
  <si>
    <t>$249.9M</t>
  </si>
  <si>
    <t>$7.3B</t>
  </si>
  <si>
    <t>$65B</t>
  </si>
  <si>
    <t>Greylock Partners, NEA</t>
  </si>
  <si>
    <t>HCM, Financial Management</t>
  </si>
  <si>
    <t>Zoom</t>
  </si>
  <si>
    <t>Video Communications</t>
  </si>
  <si>
    <t>$145.5M</t>
  </si>
  <si>
    <t>$4.5B</t>
  </si>
  <si>
    <t>$85B</t>
  </si>
  <si>
    <t>Sequoia Capital, Emergence</t>
  </si>
  <si>
    <t>Video Conferencing Platform</t>
  </si>
  <si>
    <t>Shopify</t>
  </si>
  <si>
    <t>Ottawa, Canada</t>
  </si>
  <si>
    <t>E-commerce</t>
  </si>
  <si>
    <t>$122.3M</t>
  </si>
  <si>
    <t>$7.1B</t>
  </si>
  <si>
    <t>$95B</t>
  </si>
  <si>
    <t>Bessemer, FirstMark, Felicis</t>
  </si>
  <si>
    <t>E-commerce Platform</t>
  </si>
  <si>
    <t>Atlassian</t>
  </si>
  <si>
    <t>Sydney, Australia</t>
  </si>
  <si>
    <t>Collaboration Software</t>
  </si>
  <si>
    <t>$60M</t>
  </si>
  <si>
    <t>$3.5B</t>
  </si>
  <si>
    <t>$55B</t>
  </si>
  <si>
    <t>Accel Partners</t>
  </si>
  <si>
    <t>Jira, Confluence, Trello</t>
  </si>
  <si>
    <t>Snowflake</t>
  </si>
  <si>
    <t>Bozeman, MT, USA</t>
  </si>
  <si>
    <t>Data Warehousing</t>
  </si>
  <si>
    <t>$1.4B</t>
  </si>
  <si>
    <t>$2.8B</t>
  </si>
  <si>
    <t>$75B</t>
  </si>
  <si>
    <t>Sequoia, ICONIQ, Altimeter</t>
  </si>
  <si>
    <t>Cloud Data Platform</t>
  </si>
  <si>
    <t>HubSpot</t>
  </si>
  <si>
    <t>Cambridge, MA, USA</t>
  </si>
  <si>
    <t>Marketing &amp; Sales</t>
  </si>
  <si>
    <t>$100.5M</t>
  </si>
  <si>
    <t>$2.2B</t>
  </si>
  <si>
    <t>$32B</t>
  </si>
  <si>
    <t>General Catalyst, Google Ventures</t>
  </si>
  <si>
    <t>Marketing Hub, Sales Hub</t>
  </si>
  <si>
    <t>DocuSign</t>
  </si>
  <si>
    <t>Digital Agreements</t>
  </si>
  <si>
    <t>$514.3M</t>
  </si>
  <si>
    <t>$2.5B</t>
  </si>
  <si>
    <t>$10B</t>
  </si>
  <si>
    <t>Kleiner Perkins, Accel</t>
  </si>
  <si>
    <t>eSignature, Contract Lifecycle</t>
  </si>
  <si>
    <t>Slack</t>
  </si>
  <si>
    <t>Team Communication</t>
  </si>
  <si>
    <t>$1.7B</t>
  </si>
  <si>
    <t>$27.7B (Salesforce)</t>
  </si>
  <si>
    <t>Accel, Andreessen Horowitz</t>
  </si>
  <si>
    <t>Team Messaging Platform</t>
  </si>
  <si>
    <t>Notion</t>
  </si>
  <si>
    <t>Productivity</t>
  </si>
  <si>
    <t>$353M</t>
  </si>
  <si>
    <t>$400M</t>
  </si>
  <si>
    <t>Index Ventures, Sequoia</t>
  </si>
  <si>
    <t>All-in-one workspace</t>
  </si>
  <si>
    <t>Datadog</t>
  </si>
  <si>
    <t>New York, NY, USA</t>
  </si>
  <si>
    <t>Monitoring &amp; Analytics</t>
  </si>
  <si>
    <t>$147.9M</t>
  </si>
  <si>
    <t>$2.1B</t>
  </si>
  <si>
    <t>$44B</t>
  </si>
  <si>
    <t>ICONIQ, Index Ventures</t>
  </si>
  <si>
    <t>Infrastructure Monitoring</t>
  </si>
  <si>
    <t>MongoDB</t>
  </si>
  <si>
    <t>Database</t>
  </si>
  <si>
    <t>$311.2M</t>
  </si>
  <si>
    <t>$26B</t>
  </si>
  <si>
    <t>Sequoia, NEA, USV</t>
  </si>
  <si>
    <t>Document Database Platform</t>
  </si>
  <si>
    <t>Okta</t>
  </si>
  <si>
    <t>Identity Management</t>
  </si>
  <si>
    <t>$230.5M</t>
  </si>
  <si>
    <t>$25B</t>
  </si>
  <si>
    <t>Andreessen Horowitz, Greylock</t>
  </si>
  <si>
    <t>Identity &amp; Access Management</t>
  </si>
  <si>
    <t>Twilio</t>
  </si>
  <si>
    <t>Communications</t>
  </si>
  <si>
    <t>$261.3M</t>
  </si>
  <si>
    <t>$4.1B</t>
  </si>
  <si>
    <t>$12B</t>
  </si>
  <si>
    <t>Bessemer, Union Square</t>
  </si>
  <si>
    <t>Communications APIs</t>
  </si>
  <si>
    <t>Stripe</t>
  </si>
  <si>
    <t>Payments</t>
  </si>
  <si>
    <t>$8.7B</t>
  </si>
  <si>
    <t>$14B</t>
  </si>
  <si>
    <t>Sequoia, Andreessen Horowitz</t>
  </si>
  <si>
    <t>Payment Processing Platform</t>
  </si>
  <si>
    <t>Square</t>
  </si>
  <si>
    <t>$590.5M</t>
  </si>
  <si>
    <t>$19.7B</t>
  </si>
  <si>
    <t>Khosla Ventures, Sequoia</t>
  </si>
  <si>
    <t>Payment &amp; POS Solutions</t>
  </si>
  <si>
    <t>Palantir</t>
  </si>
  <si>
    <t>Denver, CO, USA</t>
  </si>
  <si>
    <t>Data Analytics</t>
  </si>
  <si>
    <t>$2.6B</t>
  </si>
  <si>
    <t>$52B</t>
  </si>
  <si>
    <t>Founders Fund, In-Q-Tel</t>
  </si>
  <si>
    <t>Data Integration Platform</t>
  </si>
  <si>
    <t>Canva</t>
  </si>
  <si>
    <t>Design</t>
  </si>
  <si>
    <t>$572.6M</t>
  </si>
  <si>
    <t>$2B</t>
  </si>
  <si>
    <t>$40B</t>
  </si>
  <si>
    <t>Sequoia, Bessemer, Bond</t>
  </si>
  <si>
    <t>Design Platform</t>
  </si>
  <si>
    <t>Monday.com</t>
  </si>
  <si>
    <t>Tel Aviv, Israel</t>
  </si>
  <si>
    <t>Work Management</t>
  </si>
  <si>
    <t>$234.1M</t>
  </si>
  <si>
    <t>$736M</t>
  </si>
  <si>
    <t>Sapphire Ventures, Insight</t>
  </si>
  <si>
    <t>Work OS Platform</t>
  </si>
  <si>
    <t>Asana</t>
  </si>
  <si>
    <t>$453.2M</t>
  </si>
  <si>
    <t>$652M</t>
  </si>
  <si>
    <t>$5.5B</t>
  </si>
  <si>
    <t>Benchmark, Founders Fund</t>
  </si>
  <si>
    <t>Work Management Platform</t>
  </si>
  <si>
    <t>Airtable</t>
  </si>
  <si>
    <t>Database/Spreadsheet</t>
  </si>
  <si>
    <t>$735.1M</t>
  </si>
  <si>
    <t>$500M</t>
  </si>
  <si>
    <t>$11B</t>
  </si>
  <si>
    <t>Benchmark, Thrive Capital</t>
  </si>
  <si>
    <t>Low-code Database Platform</t>
  </si>
  <si>
    <t>Figma</t>
  </si>
  <si>
    <t>$332.9M</t>
  </si>
  <si>
    <t>$600M</t>
  </si>
  <si>
    <t>$20B (Adobe)</t>
  </si>
  <si>
    <t>Index Ventures, Greylock</t>
  </si>
  <si>
    <t>Collaborative Design Tool</t>
  </si>
  <si>
    <t>GitLab</t>
  </si>
  <si>
    <t>DevOps</t>
  </si>
  <si>
    <t>$435.6M</t>
  </si>
  <si>
    <t>$580M</t>
  </si>
  <si>
    <t>$8B</t>
  </si>
  <si>
    <t>ICONIQ, Goldman Sachs</t>
  </si>
  <si>
    <t>DevOps Platform</t>
  </si>
  <si>
    <t>Zendesk</t>
  </si>
  <si>
    <t>Customer Service</t>
  </si>
  <si>
    <t>$85.5M</t>
  </si>
  <si>
    <t>$1.9B</t>
  </si>
  <si>
    <t>$13.2B</t>
  </si>
  <si>
    <t>Benchmark, Matrix Partners</t>
  </si>
  <si>
    <t>Customer Service Platform</t>
  </si>
  <si>
    <t>Box</t>
  </si>
  <si>
    <t>Redwood City, CA, USA</t>
  </si>
  <si>
    <t>Cloud Storage</t>
  </si>
  <si>
    <t>$562.4M</t>
  </si>
  <si>
    <t>DFJ, NEA, Bessemer</t>
  </si>
  <si>
    <t>Cloud Content Management</t>
  </si>
  <si>
    <t>Dropbox</t>
  </si>
  <si>
    <t>$8.5B</t>
  </si>
  <si>
    <t>Sequoia, Accel, Index</t>
  </si>
  <si>
    <t>Cloud Storage &amp; Collaboration</t>
  </si>
  <si>
    <t>Freshworks</t>
  </si>
  <si>
    <t>San Mateo, CA, USA</t>
  </si>
  <si>
    <t>Customer Engagement</t>
  </si>
  <si>
    <t>$484.7M</t>
  </si>
  <si>
    <t>$596M</t>
  </si>
  <si>
    <t>$5.2B</t>
  </si>
  <si>
    <t>Accel, Sequoia Capital India</t>
  </si>
  <si>
    <t>Customer Engagement Suite</t>
  </si>
  <si>
    <t>Klaviyo</t>
  </si>
  <si>
    <t>Boston, MA, USA</t>
  </si>
  <si>
    <t>Marketing Automation</t>
  </si>
  <si>
    <t>$778.2M</t>
  </si>
  <si>
    <t>$698M</t>
  </si>
  <si>
    <t>$9.5B</t>
  </si>
  <si>
    <t>Summit Partners, Accel</t>
  </si>
  <si>
    <t>Email &amp; SMS Marketing</t>
  </si>
  <si>
    <t>UiPath</t>
  </si>
  <si>
    <t>RPA</t>
  </si>
  <si>
    <t>$1.3B</t>
  </si>
  <si>
    <t>$7B</t>
  </si>
  <si>
    <t>Sequoia, Accel, IVP</t>
  </si>
  <si>
    <t>Robotic Process Automation</t>
  </si>
  <si>
    <t>Databricks</t>
  </si>
  <si>
    <t>Data &amp; AI</t>
  </si>
  <si>
    <t>$1.6B</t>
  </si>
  <si>
    <t>$43B</t>
  </si>
  <si>
    <t>Andreessen Horowitz, NEA</t>
  </si>
  <si>
    <t>Unified Analytics Platform</t>
  </si>
  <si>
    <t>Confluent</t>
  </si>
  <si>
    <t>Data Streaming</t>
  </si>
  <si>
    <t>$455.9M</t>
  </si>
  <si>
    <t>$773M</t>
  </si>
  <si>
    <t>$9.1B</t>
  </si>
  <si>
    <t>Sequoia, Benchmark, Index</t>
  </si>
  <si>
    <t>Data Streaming Platform</t>
  </si>
  <si>
    <t>HashiCorp</t>
  </si>
  <si>
    <t>Infrastructure</t>
  </si>
  <si>
    <t>$349.5M</t>
  </si>
  <si>
    <t>$541M</t>
  </si>
  <si>
    <t>$13B</t>
  </si>
  <si>
    <t>GV, Mayfield, IVP</t>
  </si>
  <si>
    <t>Infrastructure Automation</t>
  </si>
  <si>
    <t>Elastic</t>
  </si>
  <si>
    <t>Search &amp; Analytics</t>
  </si>
  <si>
    <t>$162M</t>
  </si>
  <si>
    <t>$1.1B</t>
  </si>
  <si>
    <t>NEA, Benchmark, Index</t>
  </si>
  <si>
    <t>Search &amp; Analytics Platform</t>
  </si>
  <si>
    <t>PagerDuty</t>
  </si>
  <si>
    <t>Incident Response</t>
  </si>
  <si>
    <t>$173.7M</t>
  </si>
  <si>
    <t>$430M</t>
  </si>
  <si>
    <t>Andreessen Horowitz, Bessemer</t>
  </si>
  <si>
    <t>Digital Operations Platform</t>
  </si>
  <si>
    <t>New Relic</t>
  </si>
  <si>
    <t>Observability</t>
  </si>
  <si>
    <t>$215M</t>
  </si>
  <si>
    <t>$785M</t>
  </si>
  <si>
    <t>$6.5B</t>
  </si>
  <si>
    <t>Benchmark, Trinity, Tenaya</t>
  </si>
  <si>
    <t>Observability Platform</t>
  </si>
  <si>
    <t>Splunk</t>
  </si>
  <si>
    <t>$40M</t>
  </si>
  <si>
    <t>$3.7B</t>
  </si>
  <si>
    <t>$28B (Cisco)</t>
  </si>
  <si>
    <t>August Capital, JK&amp;B Capital</t>
  </si>
  <si>
    <t>Data Platform</t>
  </si>
  <si>
    <t>Cloudflare</t>
  </si>
  <si>
    <t>Web Infrastructure</t>
  </si>
  <si>
    <t>$332.1M</t>
  </si>
  <si>
    <t>$28B</t>
  </si>
  <si>
    <t>NEA, Venrock, Union Square</t>
  </si>
  <si>
    <t>Web Performance &amp; Security</t>
  </si>
  <si>
    <t>SendGrid</t>
  </si>
  <si>
    <t>Email Delivery</t>
  </si>
  <si>
    <t>$81M</t>
  </si>
  <si>
    <t>$200M</t>
  </si>
  <si>
    <t>$3B (Twilio)</t>
  </si>
  <si>
    <t>Bessemer, Foundry Group</t>
  </si>
  <si>
    <t>Email Delivery Platform</t>
  </si>
  <si>
    <t>Mailchimp</t>
  </si>
  <si>
    <t>Atlanta, GA, USA</t>
  </si>
  <si>
    <t>Email Marketing</t>
  </si>
  <si>
    <t>$12B (Intuit)</t>
  </si>
  <si>
    <t>Bootstrapped</t>
  </si>
  <si>
    <t>Marketing Platform</t>
  </si>
  <si>
    <t>Miro</t>
  </si>
  <si>
    <t>Collaboration</t>
  </si>
  <si>
    <t>$476.3M</t>
  </si>
  <si>
    <t>$17.5B</t>
  </si>
  <si>
    <t>ICONIQ, Accel, GV</t>
  </si>
  <si>
    <t>Visual Collaboration Platform</t>
  </si>
  <si>
    <t>Grammarly</t>
  </si>
  <si>
    <t>Writing Assistant</t>
  </si>
  <si>
    <t>$300M</t>
  </si>
  <si>
    <t>General Catalyst, IVP</t>
  </si>
  <si>
    <t>AI Writing Assistant</t>
  </si>
  <si>
    <t>Calendly</t>
  </si>
  <si>
    <t>Scheduling</t>
  </si>
  <si>
    <t>$350.6M</t>
  </si>
  <si>
    <t>$100M</t>
  </si>
  <si>
    <t>$3B</t>
  </si>
  <si>
    <t>OpenView, ICONIQ</t>
  </si>
  <si>
    <t>Scheduling Platform</t>
  </si>
  <si>
    <t>Intercom</t>
  </si>
  <si>
    <t>Customer Messaging</t>
  </si>
  <si>
    <t>$240.7M</t>
  </si>
  <si>
    <t>Kleiner Perkins, Bessemer</t>
  </si>
  <si>
    <t>Customer Messaging Platform</t>
  </si>
  <si>
    <t>Segment</t>
  </si>
  <si>
    <t>Customer Data</t>
  </si>
  <si>
    <t>$284M</t>
  </si>
  <si>
    <t>$3.2B (Twilio)</t>
  </si>
  <si>
    <t>Accel, GV, Kleiner Perkins</t>
  </si>
  <si>
    <t>Customer Data Platform</t>
  </si>
  <si>
    <t>Auth0</t>
  </si>
  <si>
    <t>Bellevue, WA, USA</t>
  </si>
  <si>
    <t>Identity</t>
  </si>
  <si>
    <t>$330M</t>
  </si>
  <si>
    <t>$6.5B (Okta)</t>
  </si>
  <si>
    <t>Bessemer, Sapphire</t>
  </si>
  <si>
    <t>Identity Platform</t>
  </si>
  <si>
    <t>Looker</t>
  </si>
  <si>
    <t>Santa Cruz, CA, USA</t>
  </si>
  <si>
    <t>Business Intelligence</t>
  </si>
  <si>
    <t>$281.5M</t>
  </si>
  <si>
    <t>$150M</t>
  </si>
  <si>
    <t>$2.6B (Google)</t>
  </si>
  <si>
    <t>CapitalG, Kleiner Perkins</t>
  </si>
  <si>
    <t>Amplitude</t>
  </si>
  <si>
    <t>Product Analytics</t>
  </si>
  <si>
    <t>$336M</t>
  </si>
  <si>
    <t>$233M</t>
  </si>
  <si>
    <t>$4B</t>
  </si>
  <si>
    <t>Sequoia, IVP, Battery</t>
  </si>
  <si>
    <t>Product Analytics Platform</t>
  </si>
  <si>
    <t>Mixpanel</t>
  </si>
  <si>
    <t>$77M</t>
  </si>
  <si>
    <t>$1.05B</t>
  </si>
  <si>
    <t>Andreessen Horowitz, Sequoia</t>
  </si>
  <si>
    <t>Sumo Logic</t>
  </si>
  <si>
    <t>Log Management</t>
  </si>
  <si>
    <t>$235M</t>
  </si>
  <si>
    <t>$299M</t>
  </si>
  <si>
    <t>$2.3B</t>
  </si>
  <si>
    <t>Accel, DFJ, Greylock</t>
  </si>
  <si>
    <t>Cloud Log Management</t>
  </si>
  <si>
    <t>Zscaler</t>
  </si>
  <si>
    <t>Cloud Security</t>
  </si>
  <si>
    <t>$148M</t>
  </si>
  <si>
    <t>$30B</t>
  </si>
  <si>
    <t>TPG, Lightspeed</t>
  </si>
  <si>
    <t>Cloud Security Platform</t>
  </si>
  <si>
    <t>CrowdStrike</t>
  </si>
  <si>
    <t>Cybersecurity</t>
  </si>
  <si>
    <t>$481M</t>
  </si>
  <si>
    <t>$3.1B</t>
  </si>
  <si>
    <t>$70B</t>
  </si>
  <si>
    <t>Warburg Pincus, Accel</t>
  </si>
  <si>
    <t>Endpoint Security Platform</t>
  </si>
  <si>
    <t>Palo Alto Networks</t>
  </si>
  <si>
    <t>$66.3M</t>
  </si>
  <si>
    <t>$7.5B</t>
  </si>
  <si>
    <t>Sequoia, Greylock</t>
  </si>
  <si>
    <t>Security Platform</t>
  </si>
  <si>
    <t>RingCentral</t>
  </si>
  <si>
    <t>Belmont, CA, USA</t>
  </si>
  <si>
    <t>$44M</t>
  </si>
  <si>
    <t>$5B</t>
  </si>
  <si>
    <t>Sequoia, Khosla, Scale</t>
  </si>
  <si>
    <t>Cloud Communications</t>
  </si>
  <si>
    <t>Five9</t>
  </si>
  <si>
    <t>San Ramon, CA, USA</t>
  </si>
  <si>
    <t>Contact Center</t>
  </si>
  <si>
    <t>$242M</t>
  </si>
  <si>
    <t>$787M</t>
  </si>
  <si>
    <t>Adams Street, Partech</t>
  </si>
  <si>
    <t>Contact Center Platform</t>
  </si>
  <si>
    <t>Veeva Systems</t>
  </si>
  <si>
    <t>Life Sciences</t>
  </si>
  <si>
    <t>$7M</t>
  </si>
  <si>
    <t>$2.4B</t>
  </si>
  <si>
    <t>$35B</t>
  </si>
  <si>
    <t>Emergence Capital</t>
  </si>
  <si>
    <t>Life Sciences Cloud</t>
  </si>
  <si>
    <t>Coupa</t>
  </si>
  <si>
    <t>Spend Management</t>
  </si>
  <si>
    <t>$169.5M</t>
  </si>
  <si>
    <t>$725M</t>
  </si>
  <si>
    <t>$8B (Thoma Bravo)</t>
  </si>
  <si>
    <t>Battery, Crosslink</t>
  </si>
  <si>
    <t>Business Spend Management</t>
  </si>
  <si>
    <t>Bill.com</t>
  </si>
  <si>
    <t>Financial Operations</t>
  </si>
  <si>
    <t>$402.7M</t>
  </si>
  <si>
    <t>$900M</t>
  </si>
  <si>
    <t>$9B</t>
  </si>
  <si>
    <t>Bank of America, TPG</t>
  </si>
  <si>
    <t>Financial Operations Platform</t>
  </si>
  <si>
    <t>Zoom Info</t>
  </si>
  <si>
    <t>Vancouver, WA, USA</t>
  </si>
  <si>
    <t>Sales Intelligence</t>
  </si>
  <si>
    <t>$241.7M</t>
  </si>
  <si>
    <t>TA Associates, Carlyle</t>
  </si>
  <si>
    <t>Go-to-Market Platform</t>
  </si>
  <si>
    <t>Smartsheet</t>
  </si>
  <si>
    <t>$120.8M</t>
  </si>
  <si>
    <t>$880M</t>
  </si>
  <si>
    <t>$8.4B (Vista/Blackstone)</t>
  </si>
  <si>
    <t>Insight Partners, Madrona</t>
  </si>
  <si>
    <t>Qualtrics</t>
  </si>
  <si>
    <t>Provo, UT, USA</t>
  </si>
  <si>
    <t>Experience Management</t>
  </si>
  <si>
    <t>$1.5B</t>
  </si>
  <si>
    <t>$12.5B (Silver Lake)</t>
  </si>
  <si>
    <t>Sequoia, Accel, Insight</t>
  </si>
  <si>
    <t>Experience Management Platform</t>
  </si>
  <si>
    <t>Wix</t>
  </si>
  <si>
    <t>Website Building</t>
  </si>
  <si>
    <t>$59M</t>
  </si>
  <si>
    <t>Benchmark, Bessemer</t>
  </si>
  <si>
    <t>Website Builder Platform</t>
  </si>
  <si>
    <t>Toast</t>
  </si>
  <si>
    <t>Restaurant Tech</t>
  </si>
  <si>
    <t>$902M</t>
  </si>
  <si>
    <t>$3.9B</t>
  </si>
  <si>
    <t>$20B</t>
  </si>
  <si>
    <t>TCV, Tiger Global</t>
  </si>
  <si>
    <t>Restaurant Management Platform</t>
  </si>
  <si>
    <t>Gong</t>
  </si>
  <si>
    <t>Revenue Intelligence</t>
  </si>
  <si>
    <t>$584M</t>
  </si>
  <si>
    <t>$250M</t>
  </si>
  <si>
    <t>Sequoia, Coatue, Thrive</t>
  </si>
  <si>
    <t>Revenue Intelligence Platform</t>
  </si>
  <si>
    <t>Outreach</t>
  </si>
  <si>
    <t>Seattle, WA, USA</t>
  </si>
  <si>
    <t>Sales Engagement</t>
  </si>
  <si>
    <t>$489M</t>
  </si>
  <si>
    <t>$4.4B</t>
  </si>
  <si>
    <t>Lone Pine, Meritech, Spark</t>
  </si>
  <si>
    <t>Sales Engagement Platform</t>
  </si>
  <si>
    <t>Salesloft</t>
  </si>
  <si>
    <t>$245M</t>
  </si>
  <si>
    <t>Insight Partners, HarbourVest</t>
  </si>
  <si>
    <t>Braze</t>
  </si>
  <si>
    <t>$175M</t>
  </si>
  <si>
    <t>$420M</t>
  </si>
  <si>
    <t>$5.6B</t>
  </si>
  <si>
    <t>Spark Capital, NEA</t>
  </si>
  <si>
    <t>Customer Engagement Platform</t>
  </si>
  <si>
    <t>LaunchDarkly</t>
  </si>
  <si>
    <t>Oakland, CA, USA</t>
  </si>
  <si>
    <t>Feature Management</t>
  </si>
  <si>
    <t>Bessemer, Redpoint</t>
  </si>
  <si>
    <t>Feature Management Platform</t>
  </si>
  <si>
    <t>Gusto</t>
  </si>
  <si>
    <t>HR &amp; Payroll</t>
  </si>
  <si>
    <t>$516M</t>
  </si>
  <si>
    <t>General Catalyst, CapitalG</t>
  </si>
  <si>
    <t>HR &amp; Payroll Platform</t>
  </si>
  <si>
    <t>Rippling</t>
  </si>
  <si>
    <t>HR &amp; IT</t>
  </si>
  <si>
    <t>$1.2B</t>
  </si>
  <si>
    <t>$350M</t>
  </si>
  <si>
    <t>$13.5B</t>
  </si>
  <si>
    <t>Founders Fund, Greenoaks</t>
  </si>
  <si>
    <t>Employee Management Platform</t>
  </si>
  <si>
    <t>Carta</t>
  </si>
  <si>
    <t>Equity Management</t>
  </si>
  <si>
    <t>$7.4B</t>
  </si>
  <si>
    <t>Andreessen Horowitz, Lightspeed</t>
  </si>
  <si>
    <t>Equity Management Platform</t>
  </si>
  <si>
    <t>Plaid</t>
  </si>
  <si>
    <t>Financial APIs</t>
  </si>
  <si>
    <t>$734M</t>
  </si>
  <si>
    <t>$13.4B</t>
  </si>
  <si>
    <t>NEA, Spark Capital</t>
  </si>
  <si>
    <t>Financial Data Platform</t>
  </si>
  <si>
    <t>Marqeta</t>
  </si>
  <si>
    <t>Card Issuing</t>
  </si>
  <si>
    <t>$528M</t>
  </si>
  <si>
    <t>$717M</t>
  </si>
  <si>
    <t>$4.3B</t>
  </si>
  <si>
    <t>Card Issuing Platform</t>
  </si>
  <si>
    <t>Affirm</t>
  </si>
  <si>
    <t>BNPL</t>
  </si>
  <si>
    <t>Founders Fund, Lightspeed</t>
  </si>
  <si>
    <t>Buy Now Pay Later Platform</t>
  </si>
  <si>
    <t>Ramp</t>
  </si>
  <si>
    <t>Expense Management</t>
  </si>
  <si>
    <t>$8.1B</t>
  </si>
  <si>
    <t>Thrive Capital, Founders Fund</t>
  </si>
  <si>
    <t>Finance Platform</t>
  </si>
  <si>
    <t>Brex</t>
  </si>
  <si>
    <t>Corporate Cards</t>
  </si>
  <si>
    <t>$12.3B</t>
  </si>
  <si>
    <t>DST Global, Ribbit Capital</t>
  </si>
  <si>
    <t>Financial Platform</t>
  </si>
  <si>
    <t>Navan</t>
  </si>
  <si>
    <t>Palo Alto, CA, USA</t>
  </si>
  <si>
    <t>Travel &amp; Expense</t>
  </si>
  <si>
    <t>$9.2B</t>
  </si>
  <si>
    <t>Andreessen Horowitz, Addition</t>
  </si>
  <si>
    <t>Travel &amp; Expense Platform</t>
  </si>
  <si>
    <t>Benchling</t>
  </si>
  <si>
    <t>Life Sciences R&amp;D</t>
  </si>
  <si>
    <t>$425M</t>
  </si>
  <si>
    <t>$6.1B</t>
  </si>
  <si>
    <t>Altimeter, Lux Capital</t>
  </si>
  <si>
    <t>Life Sciences R&amp;D Platform</t>
  </si>
  <si>
    <t>Celonis</t>
  </si>
  <si>
    <t>Munich, Germany</t>
  </si>
  <si>
    <t>Process Mining</t>
  </si>
  <si>
    <t>Arena Holdings, Durable Capital</t>
  </si>
  <si>
    <t>Process Mining Platform</t>
  </si>
  <si>
    <t>Redis</t>
  </si>
  <si>
    <t>$347M</t>
  </si>
  <si>
    <t>Tiger Global, Softbank</t>
  </si>
  <si>
    <t>In-Memory Database</t>
  </si>
  <si>
    <t>Algolia</t>
  </si>
  <si>
    <t>Search &amp; Discovery</t>
  </si>
  <si>
    <t>$334M</t>
  </si>
  <si>
    <t>Accel, Salesforce Ventures</t>
  </si>
  <si>
    <t>Search &amp; Discovery API</t>
  </si>
  <si>
    <t>Samsara</t>
  </si>
  <si>
    <t>IoT</t>
  </si>
  <si>
    <t>$930M</t>
  </si>
  <si>
    <t>$856M</t>
  </si>
  <si>
    <t>Andreessen Horowitz, Tiger</t>
  </si>
  <si>
    <t>Connected Operations Platform</t>
  </si>
  <si>
    <t>Verkada</t>
  </si>
  <si>
    <t>Physical Security</t>
  </si>
  <si>
    <t>$460M</t>
  </si>
  <si>
    <t>$3.2B</t>
  </si>
  <si>
    <t>Sequoia, Felicis</t>
  </si>
  <si>
    <t>JFrog</t>
  </si>
  <si>
    <t>Sunnyvale, CA, USA</t>
  </si>
  <si>
    <t>$228.5M</t>
  </si>
  <si>
    <t>$265M</t>
  </si>
  <si>
    <t>$5.7B</t>
  </si>
  <si>
    <t>Insight Partners, Qumra</t>
  </si>
  <si>
    <t>Netskope</t>
  </si>
  <si>
    <t>Sequoia, Lightspeed</t>
  </si>
  <si>
    <t>SASE Platform</t>
  </si>
  <si>
    <t>OneTrust</t>
  </si>
  <si>
    <t>Privacy &amp; Security</t>
  </si>
  <si>
    <t>$920M</t>
  </si>
  <si>
    <t>$5.3B</t>
  </si>
  <si>
    <t>Generation IM, Insight</t>
  </si>
  <si>
    <t>Trust Intelligence Platform</t>
  </si>
  <si>
    <t>Tanium</t>
  </si>
  <si>
    <t>Kirkland, WA, USA</t>
  </si>
  <si>
    <t>Endpoint Management</t>
  </si>
  <si>
    <t>Andreessen Horowitz, IVP</t>
  </si>
  <si>
    <t>Endpoint Management Platform</t>
  </si>
  <si>
    <t>Rubrik</t>
  </si>
  <si>
    <t>Data Security</t>
  </si>
  <si>
    <t>$750M</t>
  </si>
  <si>
    <t>$6B</t>
  </si>
  <si>
    <t>Lightspeed, Greylock</t>
  </si>
  <si>
    <t>Zero Trust Data Security</t>
  </si>
  <si>
    <t>AppDynamics</t>
  </si>
  <si>
    <t>APM</t>
  </si>
  <si>
    <t>$315M</t>
  </si>
  <si>
    <t>$3.7B (Cisco)</t>
  </si>
  <si>
    <t>Application Performance Monitoring</t>
  </si>
  <si>
    <t>Snyk</t>
  </si>
  <si>
    <t>Developer Security</t>
  </si>
  <si>
    <t>Tiger Global, Accel</t>
  </si>
  <si>
    <t>Developer Security Platform</t>
  </si>
  <si>
    <t>CircleCI</t>
  </si>
  <si>
    <t>CI/CD</t>
  </si>
  <si>
    <t>IVP, DFJ Growth</t>
  </si>
  <si>
    <t>CI/CD Platform</t>
  </si>
  <si>
    <t>ServiceTitan</t>
  </si>
  <si>
    <t>Glendale, CA, USA</t>
  </si>
  <si>
    <t>Field Service</t>
  </si>
  <si>
    <t>$685M</t>
  </si>
  <si>
    <t>Tiger Global, Sequoia</t>
  </si>
  <si>
    <t>Field Service Management</t>
  </si>
  <si>
    <t>Procore</t>
  </si>
  <si>
    <t>Carpinteria, CA, USA</t>
  </si>
  <si>
    <t>Construction</t>
  </si>
  <si>
    <t>$899M</t>
  </si>
  <si>
    <t>$943M</t>
  </si>
  <si>
    <t>Bessemer, Tiger Global</t>
  </si>
  <si>
    <t>Construction Management Platform</t>
  </si>
  <si>
    <t>Automattic</t>
  </si>
  <si>
    <t>Web Publishing</t>
  </si>
  <si>
    <t>$987M</t>
  </si>
  <si>
    <t>Salesforce Ventures, Insight</t>
  </si>
  <si>
    <t>WordPress.com, WooCommerce</t>
  </si>
  <si>
    <t>Vimeo</t>
  </si>
  <si>
    <t>Video Platform</t>
  </si>
  <si>
    <t>$450M</t>
  </si>
  <si>
    <t>$433M</t>
  </si>
  <si>
    <t>Thrive Capital, IAC</t>
  </si>
  <si>
    <t>Row Labels</t>
  </si>
  <si>
    <t>Grand Total</t>
  </si>
  <si>
    <t>Sum of Valuation_Numeric</t>
  </si>
  <si>
    <t>Company_Era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</si>
</sst>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6" fontId="0" fillId="0" borderId="0" xfId="0" applyNumberFormat="1"/>
    <xf numFmtId="1" fontId="0" fillId="0" borderId="0" xfId="0" applyNumberFormat="1"/>
    <xf numFmtId="0" fontId="0" fillId="0" borderId="0" xfId="0" pivotButton="1"/>
    <xf numFmtId="0" fontId="0" fillId="0" borderId="0" xfId="0" applyAlignment="1">
      <alignment horizontal="left"/>
    </xf>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10" formatCode="&quot;$&quot;#,##0_);[Red]\(&quot;$&quot;#,##0\)"/>
    </dxf>
    <dxf>
      <numFmt numFmtId="10" formatCode="&quot;$&quot;#,##0_);[Red]\(&quot;$&quot;#,##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292100</xdr:colOff>
      <xdr:row>13</xdr:row>
      <xdr:rowOff>63500</xdr:rowOff>
    </xdr:from>
    <xdr:to>
      <xdr:col>8</xdr:col>
      <xdr:colOff>419100</xdr:colOff>
      <xdr:row>26</xdr:row>
      <xdr:rowOff>41272</xdr:rowOff>
    </xdr:to>
    <mc:AlternateContent xmlns:mc="http://schemas.openxmlformats.org/markup-compatibility/2006" xmlns:a14="http://schemas.microsoft.com/office/drawing/2010/main">
      <mc:Choice Requires="a14">
        <xdr:graphicFrame macro="">
          <xdr:nvGraphicFramePr>
            <xdr:cNvPr id="2" name="HQ">
              <a:extLst>
                <a:ext uri="{FF2B5EF4-FFF2-40B4-BE49-F238E27FC236}">
                  <a16:creationId xmlns:a16="http://schemas.microsoft.com/office/drawing/2014/main" id="{FA30DF05-75ED-4181-4D20-2DC884078D5E}"/>
                </a:ext>
              </a:extLst>
            </xdr:cNvPr>
            <xdr:cNvGraphicFramePr/>
          </xdr:nvGraphicFramePr>
          <xdr:xfrm>
            <a:off x="0" y="0"/>
            <a:ext cx="0" cy="0"/>
          </xdr:xfrm>
          <a:graphic>
            <a:graphicData uri="http://schemas.microsoft.com/office/drawing/2010/slicer">
              <sle:slicer xmlns:sle="http://schemas.microsoft.com/office/drawing/2010/slicer" name="HQ"/>
            </a:graphicData>
          </a:graphic>
        </xdr:graphicFrame>
      </mc:Choice>
      <mc:Fallback xmlns="">
        <xdr:sp macro="" textlink="">
          <xdr:nvSpPr>
            <xdr:cNvPr id="0" name=""/>
            <xdr:cNvSpPr>
              <a:spLocks noTextEdit="1"/>
            </xdr:cNvSpPr>
          </xdr:nvSpPr>
          <xdr:spPr>
            <a:xfrm>
              <a:off x="7086600" y="2705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266700</xdr:colOff>
      <xdr:row>11</xdr:row>
      <xdr:rowOff>177800</xdr:rowOff>
    </xdr:from>
    <xdr:to>
      <xdr:col>12</xdr:col>
      <xdr:colOff>393700</xdr:colOff>
      <xdr:row>24</xdr:row>
      <xdr:rowOff>155572</xdr:rowOff>
    </xdr:to>
    <mc:AlternateContent xmlns:mc="http://schemas.openxmlformats.org/markup-compatibility/2006" xmlns:a14="http://schemas.microsoft.com/office/drawing/2010/main">
      <mc:Choice Requires="a14">
        <xdr:graphicFrame macro="">
          <xdr:nvGraphicFramePr>
            <xdr:cNvPr id="3" name="Industry">
              <a:extLst>
                <a:ext uri="{FF2B5EF4-FFF2-40B4-BE49-F238E27FC236}">
                  <a16:creationId xmlns:a16="http://schemas.microsoft.com/office/drawing/2014/main" id="{2EE763A0-0265-E16A-1F20-A2D1AC673AAE}"/>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0464800" y="2413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8.763463310184" createdVersion="8" refreshedVersion="8" minRefreshableVersion="3" recordCount="100" xr:uid="{063498FB-3D0D-3C4E-BE99-94E469CD2325}">
  <cacheSource type="worksheet">
    <worksheetSource name="Table1"/>
  </cacheSource>
  <cacheFields count="17">
    <cacheField name="Company Name" numFmtId="0">
      <sharedItems/>
    </cacheField>
    <cacheField name="Founded Year" numFmtId="0">
      <sharedItems containsSemiMixedTypes="0" containsString="0" containsNumber="1" containsInteger="1" minValue="1972" maxValue="2019"/>
    </cacheField>
    <cacheField name="HQ" numFmtId="0">
      <sharedItems count="33">
        <s v="Redmond, WA, USA"/>
        <s v="San Francisco, CA, USA"/>
        <s v="San Jose, CA, USA"/>
        <s v="Austin, TX, USA"/>
        <s v="Walldorf, Germany"/>
        <s v="Mountain View, CA, USA"/>
        <s v="Santa Clara, CA, USA"/>
        <s v="Pleasanton, CA, USA"/>
        <s v="Ottawa, Canada"/>
        <s v="Sydney, Australia"/>
        <s v="Bozeman, MT, USA"/>
        <s v="Cambridge, MA, USA"/>
        <s v="New York, NY, USA"/>
        <s v="Denver, CO, USA"/>
        <s v="Tel Aviv, Israel"/>
        <s v="Redwood City, CA, USA"/>
        <s v="San Mateo, CA, USA"/>
        <s v="Boston, MA, USA"/>
        <s v="Atlanta, GA, USA"/>
        <s v="Bellevue, WA, USA"/>
        <s v="Santa Cruz, CA, USA"/>
        <s v="Belmont, CA, USA"/>
        <s v="San Ramon, CA, USA"/>
        <s v="Vancouver, WA, USA"/>
        <s v="Provo, UT, USA"/>
        <s v="Seattle, WA, USA"/>
        <s v="Oakland, CA, USA"/>
        <s v="Palo Alto, CA, USA"/>
        <s v="Munich, Germany"/>
        <s v="Sunnyvale, CA, USA"/>
        <s v="Kirkland, WA, USA"/>
        <s v="Glendale, CA, USA"/>
        <s v="Carpinteria, CA, USA"/>
      </sharedItems>
    </cacheField>
    <cacheField name="Industry" numFmtId="0">
      <sharedItems count="85">
        <s v="Enterprise Software"/>
        <s v="CRM"/>
        <s v="Creative Software"/>
        <s v="Database &amp; Enterprise"/>
        <s v="Financial Software"/>
        <s v="IT Service Management"/>
        <s v="HR &amp; Finance"/>
        <s v="Video Communications"/>
        <s v="E-commerce"/>
        <s v="Collaboration Software"/>
        <s v="Data Warehousing"/>
        <s v="Marketing &amp; Sales"/>
        <s v="Digital Agreements"/>
        <s v="Team Communication"/>
        <s v="Productivity"/>
        <s v="Monitoring &amp; Analytics"/>
        <s v="Database"/>
        <s v="Identity Management"/>
        <s v="Communications"/>
        <s v="Payments"/>
        <s v="Data Analytics"/>
        <s v="Design"/>
        <s v="Work Management"/>
        <s v="Database/Spreadsheet"/>
        <s v="DevOps"/>
        <s v="Customer Service"/>
        <s v="Cloud Storage"/>
        <s v="Customer Engagement"/>
        <s v="Marketing Automation"/>
        <s v="RPA"/>
        <s v="Data &amp; AI"/>
        <s v="Data Streaming"/>
        <s v="Infrastructure"/>
        <s v="Search &amp; Analytics"/>
        <s v="Incident Response"/>
        <s v="Observability"/>
        <s v="Web Infrastructure"/>
        <s v="Email Delivery"/>
        <s v="Email Marketing"/>
        <s v="Collaboration"/>
        <s v="Writing Assistant"/>
        <s v="Scheduling"/>
        <s v="Customer Messaging"/>
        <s v="Customer Data"/>
        <s v="Identity"/>
        <s v="Business Intelligence"/>
        <s v="Product Analytics"/>
        <s v="Log Management"/>
        <s v="Cloud Security"/>
        <s v="Cybersecurity"/>
        <s v="Contact Center"/>
        <s v="Life Sciences"/>
        <s v="Spend Management"/>
        <s v="Financial Operations"/>
        <s v="Sales Intelligence"/>
        <s v="Experience Management"/>
        <s v="Website Building"/>
        <s v="Restaurant Tech"/>
        <s v="Revenue Intelligence"/>
        <s v="Sales Engagement"/>
        <s v="Feature Management"/>
        <s v="HR &amp; Payroll"/>
        <s v="HR &amp; IT"/>
        <s v="Equity Management"/>
        <s v="Financial APIs"/>
        <s v="Card Issuing"/>
        <s v="BNPL"/>
        <s v="Expense Management"/>
        <s v="Corporate Cards"/>
        <s v="Travel &amp; Expense"/>
        <s v="Life Sciences R&amp;D"/>
        <s v="Process Mining"/>
        <s v="Search &amp; Discovery"/>
        <s v="IoT"/>
        <s v="Physical Security"/>
        <s v="Privacy &amp; Security"/>
        <s v="Endpoint Management"/>
        <s v="Data Security"/>
        <s v="APM"/>
        <s v="Developer Security"/>
        <s v="CI/CD"/>
        <s v="Field Service"/>
        <s v="Construction"/>
        <s v="Web Publishing"/>
        <s v="Video Platform"/>
      </sharedItems>
    </cacheField>
    <cacheField name="Total Funding" numFmtId="0">
      <sharedItems containsBlank="1" containsMixedTypes="1" containsNumber="1" containsInteger="1" minValue="0" maxValue="0"/>
    </cacheField>
    <cacheField name="ARR" numFmtId="0">
      <sharedItems/>
    </cacheField>
    <cacheField name="Valuation" numFmtId="0">
      <sharedItems/>
    </cacheField>
    <cacheField name="Valuation (Cleaned)" numFmtId="6">
      <sharedItems containsSemiMixedTypes="0" containsString="0" containsNumber="1" containsInteger="1" minValue="1050000000" maxValue="3000000000000"/>
    </cacheField>
    <cacheField name="Employees" numFmtId="0">
      <sharedItems containsSemiMixedTypes="0" containsString="0" containsNumber="1" containsInteger="1" minValue="300" maxValue="221000"/>
    </cacheField>
    <cacheField name="Top Investors" numFmtId="0">
      <sharedItems/>
    </cacheField>
    <cacheField name="Product" numFmtId="0">
      <sharedItems/>
    </cacheField>
    <cacheField name="G2 Rating" numFmtId="0">
      <sharedItems containsSemiMixedTypes="0" containsString="0" containsNumber="1" minValue="4" maxValue="4.8"/>
    </cacheField>
    <cacheField name="ARR_Numeric" numFmtId="0">
      <sharedItems containsSemiMixedTypes="0" containsString="0" containsNumber="1" minValue="100000000" maxValue="270000000000"/>
    </cacheField>
    <cacheField name="Valuation_Numeric" numFmtId="0">
      <sharedItems containsSemiMixedTypes="0" containsString="0" containsNumber="1" containsInteger="1" minValue="1050000000" maxValue="3000000000000" count="72">
        <n v="3000000000000"/>
        <n v="227800000000"/>
        <n v="240000000000"/>
        <n v="350000000000"/>
        <n v="215000000000"/>
        <n v="180000000000"/>
        <n v="147000000000"/>
        <n v="65000000000"/>
        <n v="85000000000"/>
        <n v="95000000000"/>
        <n v="55000000000"/>
        <n v="75000000000"/>
        <n v="32000000000"/>
        <n v="10000000000"/>
        <n v="27700000000"/>
        <n v="44000000000"/>
        <n v="26000000000"/>
        <n v="25000000000"/>
        <n v="12000000000"/>
        <n v="52000000000"/>
        <n v="40000000000"/>
        <n v="14000000000"/>
        <n v="5500000000"/>
        <n v="11000000000"/>
        <n v="20000000000"/>
        <n v="8000000000"/>
        <n v="13200000000"/>
        <n v="3500000000"/>
        <n v="8500000000"/>
        <n v="5200000000"/>
        <n v="9500000000"/>
        <n v="7000000000"/>
        <n v="43000000000"/>
        <n v="9100000000"/>
        <n v="13000000000"/>
        <n v="2800000000"/>
        <n v="6500000000"/>
        <n v="28000000000"/>
        <n v="3000000000"/>
        <n v="17500000000"/>
        <n v="1300000000"/>
        <n v="3200000000"/>
        <n v="2600000000"/>
        <n v="4000000000"/>
        <n v="1050000000"/>
        <n v="2300000000"/>
        <n v="30000000000"/>
        <n v="70000000000"/>
        <n v="5000000000"/>
        <n v="35000000000"/>
        <n v="9000000000"/>
        <n v="8400000000"/>
        <n v="12500000000"/>
        <n v="7300000000"/>
        <n v="4400000000"/>
        <n v="5600000000"/>
        <n v="13500000000"/>
        <n v="7400000000"/>
        <n v="13400000000"/>
        <n v="4300000000"/>
        <n v="8100000000"/>
        <n v="12300000000"/>
        <n v="9200000000"/>
        <n v="6100000000"/>
        <n v="2000000000"/>
        <n v="5700000000"/>
        <n v="7500000000"/>
        <n v="5300000000"/>
        <n v="6000000000"/>
        <n v="3700000000"/>
        <n v="1700000000"/>
        <n v="1500000000"/>
      </sharedItems>
    </cacheField>
    <cacheField name="Funding_Numeric" numFmtId="0">
      <sharedItems containsSemiMixedTypes="0" containsString="0" containsNumber="1" minValue="0" maxValue="8700000000"/>
    </cacheField>
    <cacheField name="Employees_Numeric" numFmtId="0">
      <sharedItems containsSemiMixedTypes="0" containsString="0" containsNumber="1" containsInteger="1" minValue="300" maxValue="221000"/>
    </cacheField>
    <cacheField name="Revenue_per_Employee" numFmtId="6">
      <sharedItems containsSemiMixedTypes="0" containsString="0" containsNumber="1" containsInteger="1" minValue="119200" maxValue="2317647"/>
    </cacheField>
  </cacheFields>
  <extLst>
    <ext xmlns:x14="http://schemas.microsoft.com/office/spreadsheetml/2009/9/main" uri="{725AE2AE-9491-48be-B2B4-4EB974FC3084}">
      <x14:pivotCacheDefinition pivotCacheId="907278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Microsoft"/>
    <n v="1975"/>
    <x v="0"/>
    <x v="0"/>
    <s v="$1B"/>
    <s v="$270B"/>
    <s v="$3T"/>
    <n v="3000000000000"/>
    <n v="221000"/>
    <s v="Bill Gates, Paul Allen"/>
    <s v="Azure, Office 365, Teams"/>
    <n v="4.4000000000000004"/>
    <n v="270000000000"/>
    <x v="0"/>
    <n v="1000000000"/>
    <n v="221000"/>
    <n v="1221719"/>
  </r>
  <r>
    <s v="Salesforce"/>
    <n v="1999"/>
    <x v="1"/>
    <x v="1"/>
    <s v="$65.4M"/>
    <s v="$37.9B"/>
    <s v="$227.8B"/>
    <n v="227800000000"/>
    <n v="75000"/>
    <s v="Halsey Minor, Larry Ellison"/>
    <s v="Sales Cloud, Service Cloud"/>
    <n v="4.3"/>
    <n v="37900000000"/>
    <x v="1"/>
    <n v="65400000"/>
    <n v="75000"/>
    <n v="505333"/>
  </r>
  <r>
    <s v="Adobe"/>
    <n v="1982"/>
    <x v="2"/>
    <x v="2"/>
    <s v="$2.5M"/>
    <s v="$19.4B"/>
    <s v="$240B"/>
    <n v="240000000000"/>
    <n v="29945"/>
    <s v="Hambrecht &amp; Quist"/>
    <s v="Creative Cloud, Document Cloud"/>
    <n v="4.5"/>
    <n v="19400000000"/>
    <x v="2"/>
    <n v="2500000"/>
    <n v="29945"/>
    <n v="647854"/>
  </r>
  <r>
    <s v="Oracle"/>
    <n v="1977"/>
    <x v="3"/>
    <x v="3"/>
    <s v="$2K"/>
    <s v="$52.9B"/>
    <s v="$350B"/>
    <n v="350000000000"/>
    <n v="143000"/>
    <s v="Larry Ellison, Bob Miner"/>
    <s v="Oracle Cloud, NetSuite"/>
    <n v="4"/>
    <n v="52900000000"/>
    <x v="3"/>
    <n v="2000"/>
    <n v="143000"/>
    <n v="369930"/>
  </r>
  <r>
    <s v="SAP"/>
    <n v="1972"/>
    <x v="4"/>
    <x v="0"/>
    <m/>
    <s v="$32.5B"/>
    <s v="$215B"/>
    <n v="215000000000"/>
    <n v="107415"/>
    <s v="Dietmar Hopp, Klaus Tschira"/>
    <s v="S/4HANA, SuccessFactors"/>
    <n v="4.0999999999999996"/>
    <n v="32500000000"/>
    <x v="4"/>
    <n v="0"/>
    <n v="107415"/>
    <n v="302565"/>
  </r>
  <r>
    <s v="Intuit"/>
    <n v="1983"/>
    <x v="5"/>
    <x v="4"/>
    <s v="$273M"/>
    <s v="$14.4B"/>
    <s v="$180B"/>
    <n v="180000000000"/>
    <n v="18200"/>
    <s v="Sierra Ventures, Kleiner Perkins"/>
    <s v="QuickBooks, TurboTax"/>
    <n v="4.4000000000000004"/>
    <n v="14400000000"/>
    <x v="5"/>
    <n v="273000000"/>
    <n v="18200"/>
    <n v="791209"/>
  </r>
  <r>
    <s v="ServiceNow"/>
    <n v="2004"/>
    <x v="6"/>
    <x v="5"/>
    <s v="$82.5M"/>
    <s v="$8.9B"/>
    <s v="$147B"/>
    <n v="147000000000"/>
    <n v="20000"/>
    <s v="JMI Equity, Sequoia Capital"/>
    <s v="IT Service Management Platform"/>
    <n v="4.4000000000000004"/>
    <n v="8900000000"/>
    <x v="6"/>
    <n v="82500000"/>
    <n v="20000"/>
    <n v="445000"/>
  </r>
  <r>
    <s v="Workday"/>
    <n v="2005"/>
    <x v="7"/>
    <x v="6"/>
    <s v="$249.9M"/>
    <s v="$7.3B"/>
    <s v="$65B"/>
    <n v="65000000000"/>
    <n v="18800"/>
    <s v="Greylock Partners, NEA"/>
    <s v="HCM, Financial Management"/>
    <n v="4.2"/>
    <n v="7300000000"/>
    <x v="7"/>
    <n v="249900000"/>
    <n v="18800"/>
    <n v="388298"/>
  </r>
  <r>
    <s v="Zoom"/>
    <n v="2011"/>
    <x v="2"/>
    <x v="7"/>
    <s v="$145.5M"/>
    <s v="$4.5B"/>
    <s v="$85B"/>
    <n v="85000000000"/>
    <n v="7388"/>
    <s v="Sequoia Capital, Emergence"/>
    <s v="Video Conferencing Platform"/>
    <n v="4.5"/>
    <n v="4500000000"/>
    <x v="8"/>
    <n v="145500000"/>
    <n v="7388"/>
    <n v="609096"/>
  </r>
  <r>
    <s v="Shopify"/>
    <n v="2006"/>
    <x v="8"/>
    <x v="8"/>
    <s v="$122.3M"/>
    <s v="$7.1B"/>
    <s v="$95B"/>
    <n v="95000000000"/>
    <n v="11600"/>
    <s v="Bessemer, FirstMark, Felicis"/>
    <s v="E-commerce Platform"/>
    <n v="4.4000000000000004"/>
    <n v="7100000000"/>
    <x v="9"/>
    <n v="122300000"/>
    <n v="11600"/>
    <n v="612069"/>
  </r>
  <r>
    <s v="Atlassian"/>
    <n v="2002"/>
    <x v="9"/>
    <x v="9"/>
    <s v="$60M"/>
    <s v="$3.5B"/>
    <s v="$55B"/>
    <n v="55000000000"/>
    <n v="11800"/>
    <s v="Accel Partners"/>
    <s v="Jira, Confluence, Trello"/>
    <n v="4.3"/>
    <n v="3500000000"/>
    <x v="10"/>
    <n v="60000000"/>
    <n v="11800"/>
    <n v="296610"/>
  </r>
  <r>
    <s v="Snowflake"/>
    <n v="2012"/>
    <x v="10"/>
    <x v="10"/>
    <s v="$1.4B"/>
    <s v="$2.8B"/>
    <s v="$75B"/>
    <n v="75000000000"/>
    <n v="6500"/>
    <s v="Sequoia, ICONIQ, Altimeter"/>
    <s v="Cloud Data Platform"/>
    <n v="4.4000000000000004"/>
    <n v="2800000000"/>
    <x v="11"/>
    <n v="1400000000"/>
    <n v="6500"/>
    <n v="430769"/>
  </r>
  <r>
    <s v="HubSpot"/>
    <n v="2006"/>
    <x v="11"/>
    <x v="11"/>
    <s v="$100.5M"/>
    <s v="$2.2B"/>
    <s v="$32B"/>
    <n v="32000000000"/>
    <n v="7600"/>
    <s v="General Catalyst, Google Ventures"/>
    <s v="Marketing Hub, Sales Hub"/>
    <n v="4.4000000000000004"/>
    <n v="2200000000"/>
    <x v="12"/>
    <n v="100500000"/>
    <n v="7600"/>
    <n v="289474"/>
  </r>
  <r>
    <s v="DocuSign"/>
    <n v="2003"/>
    <x v="1"/>
    <x v="12"/>
    <s v="$514.3M"/>
    <s v="$2.5B"/>
    <s v="$10B"/>
    <n v="10000000000"/>
    <n v="7336"/>
    <s v="Kleiner Perkins, Accel"/>
    <s v="eSignature, Contract Lifecycle"/>
    <n v="4.5"/>
    <n v="2500000000"/>
    <x v="13"/>
    <n v="514299999.99999899"/>
    <n v="7336"/>
    <n v="340785"/>
  </r>
  <r>
    <s v="Slack"/>
    <n v="2009"/>
    <x v="1"/>
    <x v="13"/>
    <s v="$1.4B"/>
    <s v="$1.7B"/>
    <s v="$27.7B (Salesforce)"/>
    <n v="27700000000"/>
    <n v="2545"/>
    <s v="Accel, Andreessen Horowitz"/>
    <s v="Team Messaging Platform"/>
    <n v="4.5"/>
    <n v="1700000000"/>
    <x v="14"/>
    <n v="1400000000"/>
    <n v="2545"/>
    <n v="667976"/>
  </r>
  <r>
    <s v="Notion"/>
    <n v="2013"/>
    <x v="1"/>
    <x v="14"/>
    <s v="$353M"/>
    <s v="$400M"/>
    <s v="$10B"/>
    <n v="10000000000"/>
    <n v="800"/>
    <s v="Index Ventures, Sequoia"/>
    <s v="All-in-one workspace"/>
    <n v="4.7"/>
    <n v="400000000"/>
    <x v="13"/>
    <n v="353000000"/>
    <n v="800"/>
    <n v="500000"/>
  </r>
  <r>
    <s v="Datadog"/>
    <n v="2010"/>
    <x v="12"/>
    <x v="15"/>
    <s v="$147.9M"/>
    <s v="$2.1B"/>
    <s v="$44B"/>
    <n v="44000000000"/>
    <n v="5200"/>
    <s v="ICONIQ, Index Ventures"/>
    <s v="Infrastructure Monitoring"/>
    <n v="4.4000000000000004"/>
    <n v="2100000000"/>
    <x v="15"/>
    <n v="147900000"/>
    <n v="5200"/>
    <n v="403846"/>
  </r>
  <r>
    <s v="MongoDB"/>
    <n v="2007"/>
    <x v="12"/>
    <x v="16"/>
    <s v="$311.2M"/>
    <s v="$1.7B"/>
    <s v="$26B"/>
    <n v="26000000000"/>
    <n v="4500"/>
    <s v="Sequoia, NEA, USV"/>
    <s v="Document Database Platform"/>
    <n v="4.5"/>
    <n v="1700000000"/>
    <x v="16"/>
    <n v="311200000"/>
    <n v="4500"/>
    <n v="377778"/>
  </r>
  <r>
    <s v="Okta"/>
    <n v="2009"/>
    <x v="1"/>
    <x v="17"/>
    <s v="$230.5M"/>
    <s v="$2.2B"/>
    <s v="$25B"/>
    <n v="25000000000"/>
    <n v="5900"/>
    <s v="Andreessen Horowitz, Greylock"/>
    <s v="Identity &amp; Access Management"/>
    <n v="4.4000000000000004"/>
    <n v="2200000000"/>
    <x v="17"/>
    <n v="230500000"/>
    <n v="5900"/>
    <n v="372881"/>
  </r>
  <r>
    <s v="Twilio"/>
    <n v="2008"/>
    <x v="1"/>
    <x v="18"/>
    <s v="$261.3M"/>
    <s v="$4.1B"/>
    <s v="$12B"/>
    <n v="12000000000"/>
    <n v="7867"/>
    <s v="Bessemer, Union Square"/>
    <s v="Communications APIs"/>
    <n v="4.3"/>
    <n v="4099999999.99999"/>
    <x v="18"/>
    <n v="261300000"/>
    <n v="7867"/>
    <n v="521164"/>
  </r>
  <r>
    <s v="Stripe"/>
    <n v="2010"/>
    <x v="1"/>
    <x v="19"/>
    <s v="$8.7B"/>
    <s v="$14B"/>
    <s v="$65B"/>
    <n v="65000000000"/>
    <n v="8000"/>
    <s v="Sequoia, Andreessen Horowitz"/>
    <s v="Payment Processing Platform"/>
    <n v="4.4000000000000004"/>
    <n v="14000000000"/>
    <x v="7"/>
    <n v="8700000000"/>
    <n v="8000"/>
    <n v="1750000"/>
  </r>
  <r>
    <s v="Square"/>
    <n v="2009"/>
    <x v="1"/>
    <x v="19"/>
    <s v="$590.5M"/>
    <s v="$19.7B"/>
    <s v="$85B"/>
    <n v="85000000000"/>
    <n v="8500"/>
    <s v="Khosla Ventures, Sequoia"/>
    <s v="Payment &amp; POS Solutions"/>
    <n v="4.2"/>
    <n v="19700000000"/>
    <x v="8"/>
    <n v="590500000"/>
    <n v="8500"/>
    <n v="2317647"/>
  </r>
  <r>
    <s v="Palantir"/>
    <n v="2003"/>
    <x v="13"/>
    <x v="20"/>
    <s v="$2.6B"/>
    <s v="$2.2B"/>
    <s v="$52B"/>
    <n v="52000000000"/>
    <n v="3500"/>
    <s v="Founders Fund, In-Q-Tel"/>
    <s v="Data Integration Platform"/>
    <n v="4"/>
    <n v="2200000000"/>
    <x v="19"/>
    <n v="2600000000"/>
    <n v="3500"/>
    <n v="628571"/>
  </r>
  <r>
    <s v="Canva"/>
    <n v="2013"/>
    <x v="9"/>
    <x v="21"/>
    <s v="$572.6M"/>
    <s v="$2B"/>
    <s v="$40B"/>
    <n v="40000000000"/>
    <n v="3500"/>
    <s v="Sequoia, Bessemer, Bond"/>
    <s v="Design Platform"/>
    <n v="4.7"/>
    <n v="2000000000"/>
    <x v="20"/>
    <n v="572600000"/>
    <n v="3500"/>
    <n v="571429"/>
  </r>
  <r>
    <s v="Monday.com"/>
    <n v="2012"/>
    <x v="14"/>
    <x v="22"/>
    <s v="$234.1M"/>
    <s v="$736M"/>
    <s v="$14B"/>
    <n v="14000000000"/>
    <n v="1900"/>
    <s v="Sapphire Ventures, Insight"/>
    <s v="Work OS Platform"/>
    <n v="4.5999999999999996"/>
    <n v="736000000"/>
    <x v="21"/>
    <n v="234100000"/>
    <n v="1900"/>
    <n v="387368"/>
  </r>
  <r>
    <s v="Asana"/>
    <n v="2008"/>
    <x v="1"/>
    <x v="22"/>
    <s v="$453.2M"/>
    <s v="$652M"/>
    <s v="$5.5B"/>
    <n v="5500000000"/>
    <n v="1600"/>
    <s v="Benchmark, Founders Fund"/>
    <s v="Work Management Platform"/>
    <n v="4.3"/>
    <n v="652000000"/>
    <x v="22"/>
    <n v="453200000"/>
    <n v="1600"/>
    <n v="407500"/>
  </r>
  <r>
    <s v="Airtable"/>
    <n v="2012"/>
    <x v="1"/>
    <x v="23"/>
    <s v="$735.1M"/>
    <s v="$500M"/>
    <s v="$11B"/>
    <n v="11000000000"/>
    <n v="900"/>
    <s v="Benchmark, Thrive Capital"/>
    <s v="Low-code Database Platform"/>
    <n v="4.5999999999999996"/>
    <n v="500000000"/>
    <x v="23"/>
    <n v="735100000"/>
    <n v="900"/>
    <n v="555556"/>
  </r>
  <r>
    <s v="Figma"/>
    <n v="2012"/>
    <x v="1"/>
    <x v="21"/>
    <s v="$332.9M"/>
    <s v="$600M"/>
    <s v="$20B (Adobe)"/>
    <n v="20000000000"/>
    <n v="1300"/>
    <s v="Index Ventures, Greylock"/>
    <s v="Collaborative Design Tool"/>
    <n v="4.7"/>
    <n v="600000000"/>
    <x v="24"/>
    <n v="332900000"/>
    <n v="1300"/>
    <n v="461538"/>
  </r>
  <r>
    <s v="GitLab"/>
    <n v="2011"/>
    <x v="1"/>
    <x v="24"/>
    <s v="$435.6M"/>
    <s v="$580M"/>
    <s v="$8B"/>
    <n v="8000000000"/>
    <n v="2300"/>
    <s v="ICONIQ, Goldman Sachs"/>
    <s v="DevOps Platform"/>
    <n v="4.5"/>
    <n v="580000000"/>
    <x v="25"/>
    <n v="435600000"/>
    <n v="2300"/>
    <n v="252174"/>
  </r>
  <r>
    <s v="Zendesk"/>
    <n v="2007"/>
    <x v="1"/>
    <x v="25"/>
    <s v="$85.5M"/>
    <s v="$1.9B"/>
    <s v="$13.2B"/>
    <n v="13200000000"/>
    <n v="6000"/>
    <s v="Benchmark, Matrix Partners"/>
    <s v="Customer Service Platform"/>
    <n v="4.3"/>
    <n v="1900000000"/>
    <x v="26"/>
    <n v="85500000"/>
    <n v="6000"/>
    <n v="316667"/>
  </r>
  <r>
    <s v="Box"/>
    <n v="2005"/>
    <x v="15"/>
    <x v="26"/>
    <s v="$562.4M"/>
    <s v="$1B"/>
    <s v="$3.5B"/>
    <n v="3500000000"/>
    <n v="2800"/>
    <s v="DFJ, NEA, Bessemer"/>
    <s v="Cloud Content Management"/>
    <n v="4.2"/>
    <n v="1000000000"/>
    <x v="27"/>
    <n v="562400000"/>
    <n v="2800"/>
    <n v="357143"/>
  </r>
  <r>
    <s v="Dropbox"/>
    <n v="2008"/>
    <x v="1"/>
    <x v="26"/>
    <s v="$1.7B"/>
    <s v="$2.5B"/>
    <s v="$8.5B"/>
    <n v="8500000000"/>
    <n v="2700"/>
    <s v="Sequoia, Accel, Index"/>
    <s v="Cloud Storage &amp; Collaboration"/>
    <n v="4.4000000000000004"/>
    <n v="2500000000"/>
    <x v="28"/>
    <n v="1700000000"/>
    <n v="2700"/>
    <n v="925926"/>
  </r>
  <r>
    <s v="Freshworks"/>
    <n v="2010"/>
    <x v="16"/>
    <x v="27"/>
    <s v="$484.7M"/>
    <s v="$596M"/>
    <s v="$5.2B"/>
    <n v="5200000000"/>
    <n v="5000"/>
    <s v="Accel, Sequoia Capital India"/>
    <s v="Customer Engagement Suite"/>
    <n v="4.4000000000000004"/>
    <n v="596000000"/>
    <x v="29"/>
    <n v="484700000"/>
    <n v="5000"/>
    <n v="119200"/>
  </r>
  <r>
    <s v="Klaviyo"/>
    <n v="2012"/>
    <x v="17"/>
    <x v="28"/>
    <s v="$778.2M"/>
    <s v="$698M"/>
    <s v="$9.5B"/>
    <n v="9500000000"/>
    <n v="1500"/>
    <s v="Summit Partners, Accel"/>
    <s v="Email &amp; SMS Marketing"/>
    <n v="4.5999999999999996"/>
    <n v="698000000"/>
    <x v="30"/>
    <n v="778200000"/>
    <n v="1500"/>
    <n v="465333"/>
  </r>
  <r>
    <s v="UiPath"/>
    <n v="2005"/>
    <x v="12"/>
    <x v="29"/>
    <s v="$2B"/>
    <s v="$1.3B"/>
    <s v="$7B"/>
    <n v="7000000000"/>
    <n v="4013"/>
    <s v="Sequoia, Accel, IVP"/>
    <s v="Robotic Process Automation"/>
    <n v="4.5"/>
    <n v="1300000000"/>
    <x v="31"/>
    <n v="2000000000"/>
    <n v="4013"/>
    <n v="323947"/>
  </r>
  <r>
    <s v="Databricks"/>
    <n v="2013"/>
    <x v="1"/>
    <x v="30"/>
    <s v="$3.5B"/>
    <s v="$1.6B"/>
    <s v="$43B"/>
    <n v="43000000000"/>
    <n v="5000"/>
    <s v="Andreessen Horowitz, NEA"/>
    <s v="Unified Analytics Platform"/>
    <n v="4.5"/>
    <n v="1600000000"/>
    <x v="32"/>
    <n v="3500000000"/>
    <n v="5000"/>
    <n v="320000"/>
  </r>
  <r>
    <s v="Confluent"/>
    <n v="2014"/>
    <x v="5"/>
    <x v="31"/>
    <s v="$455.9M"/>
    <s v="$773M"/>
    <s v="$9.1B"/>
    <n v="9100000000"/>
    <n v="2500"/>
    <s v="Sequoia, Benchmark, Index"/>
    <s v="Data Streaming Platform"/>
    <n v="4.4000000000000004"/>
    <n v="773000000"/>
    <x v="33"/>
    <n v="455900000"/>
    <n v="2500"/>
    <n v="309200"/>
  </r>
  <r>
    <s v="HashiCorp"/>
    <n v="2012"/>
    <x v="1"/>
    <x v="32"/>
    <s v="$349.5M"/>
    <s v="$541M"/>
    <s v="$13B"/>
    <n v="13000000000"/>
    <n v="2200"/>
    <s v="GV, Mayfield, IVP"/>
    <s v="Infrastructure Automation"/>
    <n v="4.5999999999999996"/>
    <n v="541000000"/>
    <x v="34"/>
    <n v="349500000"/>
    <n v="2200"/>
    <n v="245909"/>
  </r>
  <r>
    <s v="Elastic"/>
    <n v="2012"/>
    <x v="5"/>
    <x v="33"/>
    <s v="$162M"/>
    <s v="$1.1B"/>
    <s v="$8B"/>
    <n v="8000000000"/>
    <n v="3000"/>
    <s v="NEA, Benchmark, Index"/>
    <s v="Search &amp; Analytics Platform"/>
    <n v="4.4000000000000004"/>
    <n v="1100000000"/>
    <x v="25"/>
    <n v="162000000"/>
    <n v="3000"/>
    <n v="366667"/>
  </r>
  <r>
    <s v="PagerDuty"/>
    <n v="2009"/>
    <x v="1"/>
    <x v="34"/>
    <s v="$173.7M"/>
    <s v="$430M"/>
    <s v="$2.8B"/>
    <n v="2800000000"/>
    <n v="1000"/>
    <s v="Andreessen Horowitz, Bessemer"/>
    <s v="Digital Operations Platform"/>
    <n v="4.3"/>
    <n v="430000000"/>
    <x v="35"/>
    <n v="173700000"/>
    <n v="1000"/>
    <n v="430000"/>
  </r>
  <r>
    <s v="New Relic"/>
    <n v="2008"/>
    <x v="1"/>
    <x v="35"/>
    <s v="$215M"/>
    <s v="$785M"/>
    <s v="$6.5B"/>
    <n v="6500000000"/>
    <n v="2300"/>
    <s v="Benchmark, Trinity, Tenaya"/>
    <s v="Observability Platform"/>
    <n v="4.3"/>
    <n v="785000000"/>
    <x v="36"/>
    <n v="215000000"/>
    <n v="2300"/>
    <n v="341304"/>
  </r>
  <r>
    <s v="Splunk"/>
    <n v="2003"/>
    <x v="1"/>
    <x v="20"/>
    <s v="$40M"/>
    <s v="$3.7B"/>
    <s v="$28B (Cisco)"/>
    <n v="28000000000"/>
    <n v="8000"/>
    <s v="August Capital, JK&amp;B Capital"/>
    <s v="Data Platform"/>
    <n v="4.4000000000000004"/>
    <n v="3700000000"/>
    <x v="37"/>
    <n v="40000000"/>
    <n v="8000"/>
    <n v="462500"/>
  </r>
  <r>
    <s v="Cloudflare"/>
    <n v="2009"/>
    <x v="1"/>
    <x v="36"/>
    <s v="$332.1M"/>
    <s v="$1.6B"/>
    <s v="$28B"/>
    <n v="28000000000"/>
    <n v="3266"/>
    <s v="NEA, Venrock, Union Square"/>
    <s v="Web Performance &amp; Security"/>
    <n v="4.7"/>
    <n v="1600000000"/>
    <x v="37"/>
    <n v="332100000"/>
    <n v="3266"/>
    <n v="489896"/>
  </r>
  <r>
    <s v="SendGrid"/>
    <n v="2009"/>
    <x v="13"/>
    <x v="37"/>
    <s v="$81M"/>
    <s v="$200M"/>
    <s v="$3B (Twilio)"/>
    <n v="3000000000"/>
    <n v="600"/>
    <s v="Bessemer, Foundry Group"/>
    <s v="Email Delivery Platform"/>
    <n v="4"/>
    <n v="200000000"/>
    <x v="38"/>
    <n v="81000000"/>
    <n v="600"/>
    <n v="333333"/>
  </r>
  <r>
    <s v="Mailchimp"/>
    <n v="2001"/>
    <x v="18"/>
    <x v="38"/>
    <n v="0"/>
    <s v="$1B"/>
    <s v="$12B (Intuit)"/>
    <n v="12000000000"/>
    <n v="1200"/>
    <s v="Bootstrapped"/>
    <s v="Marketing Platform"/>
    <n v="4.3"/>
    <n v="1000000000"/>
    <x v="18"/>
    <n v="0"/>
    <n v="1200"/>
    <n v="833333"/>
  </r>
  <r>
    <s v="Miro"/>
    <n v="2011"/>
    <x v="1"/>
    <x v="39"/>
    <s v="$476.3M"/>
    <s v="$400M"/>
    <s v="$17.5B"/>
    <n v="17500000000"/>
    <n v="1800"/>
    <s v="ICONIQ, Accel, GV"/>
    <s v="Visual Collaboration Platform"/>
    <n v="4.7"/>
    <n v="400000000"/>
    <x v="39"/>
    <n v="476300000"/>
    <n v="1800"/>
    <n v="222222"/>
  </r>
  <r>
    <s v="Grammarly"/>
    <n v="2009"/>
    <x v="1"/>
    <x v="40"/>
    <s v="$400M"/>
    <s v="$300M"/>
    <s v="$13B"/>
    <n v="13000000000"/>
    <n v="600"/>
    <s v="General Catalyst, IVP"/>
    <s v="AI Writing Assistant"/>
    <n v="4.5999999999999996"/>
    <n v="300000000"/>
    <x v="34"/>
    <n v="400000000"/>
    <n v="600"/>
    <n v="500000"/>
  </r>
  <r>
    <s v="Calendly"/>
    <n v="2013"/>
    <x v="18"/>
    <x v="41"/>
    <s v="$350.6M"/>
    <s v="$100M"/>
    <s v="$3B"/>
    <n v="3000000000"/>
    <n v="700"/>
    <s v="OpenView, ICONIQ"/>
    <s v="Scheduling Platform"/>
    <n v="4.7"/>
    <n v="100000000"/>
    <x v="38"/>
    <n v="350600000"/>
    <n v="700"/>
    <n v="142857"/>
  </r>
  <r>
    <s v="Intercom"/>
    <n v="2011"/>
    <x v="1"/>
    <x v="42"/>
    <s v="$240.7M"/>
    <s v="$200M"/>
    <s v="$1.3B"/>
    <n v="1300000000"/>
    <n v="800"/>
    <s v="Kleiner Perkins, Bessemer"/>
    <s v="Customer Messaging Platform"/>
    <n v="4.4000000000000004"/>
    <n v="200000000"/>
    <x v="40"/>
    <n v="240700000"/>
    <n v="800"/>
    <n v="250000"/>
  </r>
  <r>
    <s v="Segment"/>
    <n v="2012"/>
    <x v="1"/>
    <x v="43"/>
    <s v="$284M"/>
    <s v="$200M"/>
    <s v="$3.2B (Twilio)"/>
    <n v="3200000000"/>
    <n v="600"/>
    <s v="Accel, GV, Kleiner Perkins"/>
    <s v="Customer Data Platform"/>
    <n v="4.5"/>
    <n v="200000000"/>
    <x v="41"/>
    <n v="284000000"/>
    <n v="600"/>
    <n v="333333"/>
  </r>
  <r>
    <s v="Auth0"/>
    <n v="2013"/>
    <x v="19"/>
    <x v="44"/>
    <s v="$330M"/>
    <s v="$200M"/>
    <s v="$6.5B (Okta)"/>
    <n v="6500000000"/>
    <n v="850"/>
    <s v="Bessemer, Sapphire"/>
    <s v="Identity Platform"/>
    <n v="4.4000000000000004"/>
    <n v="200000000"/>
    <x v="36"/>
    <n v="330000000"/>
    <n v="850"/>
    <n v="235294"/>
  </r>
  <r>
    <s v="Looker"/>
    <n v="2012"/>
    <x v="20"/>
    <x v="45"/>
    <s v="$281.5M"/>
    <s v="$150M"/>
    <s v="$2.6B (Google)"/>
    <n v="2600000000"/>
    <n v="800"/>
    <s v="CapitalG, Kleiner Perkins"/>
    <s v="Data Platform"/>
    <n v="4.4000000000000004"/>
    <n v="150000000"/>
    <x v="42"/>
    <n v="281500000"/>
    <n v="800"/>
    <n v="187500"/>
  </r>
  <r>
    <s v="Amplitude"/>
    <n v="2012"/>
    <x v="1"/>
    <x v="46"/>
    <s v="$336M"/>
    <s v="$233M"/>
    <s v="$4B"/>
    <n v="4000000000"/>
    <n v="700"/>
    <s v="Sequoia, IVP, Battery"/>
    <s v="Product Analytics Platform"/>
    <n v="4.5"/>
    <n v="233000000"/>
    <x v="43"/>
    <n v="336000000"/>
    <n v="700"/>
    <n v="332857"/>
  </r>
  <r>
    <s v="Mixpanel"/>
    <n v="2009"/>
    <x v="1"/>
    <x v="46"/>
    <s v="$77M"/>
    <s v="$100M"/>
    <s v="$1.05B"/>
    <n v="1050000000"/>
    <n v="300"/>
    <s v="Andreessen Horowitz, Sequoia"/>
    <s v="Product Analytics"/>
    <n v="4.4000000000000004"/>
    <n v="100000000"/>
    <x v="44"/>
    <n v="77000000"/>
    <n v="300"/>
    <n v="333333"/>
  </r>
  <r>
    <s v="Sumo Logic"/>
    <n v="2010"/>
    <x v="15"/>
    <x v="47"/>
    <s v="$235M"/>
    <s v="$299M"/>
    <s v="$2.3B"/>
    <n v="2300000000"/>
    <n v="750"/>
    <s v="Accel, DFJ, Greylock"/>
    <s v="Cloud Log Management"/>
    <n v="4.2"/>
    <n v="299000000"/>
    <x v="45"/>
    <n v="235000000"/>
    <n v="750"/>
    <n v="398667"/>
  </r>
  <r>
    <s v="Zscaler"/>
    <n v="2008"/>
    <x v="2"/>
    <x v="48"/>
    <s v="$148M"/>
    <s v="$1.6B"/>
    <s v="$30B"/>
    <n v="30000000000"/>
    <n v="5000"/>
    <s v="TPG, Lightspeed"/>
    <s v="Cloud Security Platform"/>
    <n v="4.4000000000000004"/>
    <n v="1600000000"/>
    <x v="46"/>
    <n v="148000000"/>
    <n v="5000"/>
    <n v="320000"/>
  </r>
  <r>
    <s v="CrowdStrike"/>
    <n v="2011"/>
    <x v="3"/>
    <x v="49"/>
    <s v="$481M"/>
    <s v="$3.1B"/>
    <s v="$70B"/>
    <n v="70000000000"/>
    <n v="7900"/>
    <s v="Warburg Pincus, Accel"/>
    <s v="Endpoint Security Platform"/>
    <n v="4.7"/>
    <n v="3100000000"/>
    <x v="47"/>
    <n v="481000000"/>
    <n v="7900"/>
    <n v="392405"/>
  </r>
  <r>
    <s v="Palo Alto Networks"/>
    <n v="2005"/>
    <x v="6"/>
    <x v="49"/>
    <s v="$66.3M"/>
    <s v="$7.5B"/>
    <s v="$95B"/>
    <n v="95000000000"/>
    <n v="13300"/>
    <s v="Sequoia, Greylock"/>
    <s v="Security Platform"/>
    <n v="4.5"/>
    <n v="7500000000"/>
    <x v="9"/>
    <n v="66300000"/>
    <n v="13300"/>
    <n v="563910"/>
  </r>
  <r>
    <s v="RingCentral"/>
    <n v="2003"/>
    <x v="21"/>
    <x v="18"/>
    <s v="$44M"/>
    <s v="$2.2B"/>
    <s v="$5B"/>
    <n v="5000000000"/>
    <n v="3600"/>
    <s v="Sequoia, Khosla, Scale"/>
    <s v="Cloud Communications"/>
    <n v="4.2"/>
    <n v="2200000000"/>
    <x v="48"/>
    <n v="44000000"/>
    <n v="3600"/>
    <n v="611111"/>
  </r>
  <r>
    <s v="Five9"/>
    <n v="2001"/>
    <x v="22"/>
    <x v="50"/>
    <s v="$242M"/>
    <s v="$787M"/>
    <s v="$8B"/>
    <n v="8000000000"/>
    <n v="2800"/>
    <s v="Adams Street, Partech"/>
    <s v="Contact Center Platform"/>
    <n v="4.3"/>
    <n v="787000000"/>
    <x v="25"/>
    <n v="242000000"/>
    <n v="2800"/>
    <n v="281071"/>
  </r>
  <r>
    <s v="Veeva Systems"/>
    <n v="2007"/>
    <x v="7"/>
    <x v="51"/>
    <s v="$7M"/>
    <s v="$2.4B"/>
    <s v="$35B"/>
    <n v="35000000000"/>
    <n v="5600"/>
    <s v="Emergence Capital"/>
    <s v="Life Sciences Cloud"/>
    <n v="4.3"/>
    <n v="2400000000"/>
    <x v="49"/>
    <n v="7000000"/>
    <n v="5600"/>
    <n v="428571"/>
  </r>
  <r>
    <s v="Coupa"/>
    <n v="2006"/>
    <x v="16"/>
    <x v="52"/>
    <s v="$169.5M"/>
    <s v="$725M"/>
    <s v="$8B (Thoma Bravo)"/>
    <n v="8000000000"/>
    <n v="3200"/>
    <s v="Battery, Crosslink"/>
    <s v="Business Spend Management"/>
    <n v="4.3"/>
    <n v="725000000"/>
    <x v="25"/>
    <n v="169500000"/>
    <n v="3200"/>
    <n v="226562"/>
  </r>
  <r>
    <s v="Bill.com"/>
    <n v="2006"/>
    <x v="2"/>
    <x v="53"/>
    <s v="$402.7M"/>
    <s v="$900M"/>
    <s v="$9B"/>
    <n v="9000000000"/>
    <n v="2500"/>
    <s v="Bank of America, TPG"/>
    <s v="Financial Operations Platform"/>
    <n v="4.3"/>
    <n v="900000000"/>
    <x v="50"/>
    <n v="402700000"/>
    <n v="2500"/>
    <n v="360000"/>
  </r>
  <r>
    <s v="Zoom Info"/>
    <n v="2007"/>
    <x v="23"/>
    <x v="54"/>
    <s v="$241.7M"/>
    <s v="$1.1B"/>
    <s v="$12B"/>
    <n v="12000000000"/>
    <n v="3500"/>
    <s v="TA Associates, Carlyle"/>
    <s v="Go-to-Market Platform"/>
    <n v="4.4000000000000004"/>
    <n v="1100000000"/>
    <x v="18"/>
    <n v="241700000"/>
    <n v="3500"/>
    <n v="314286"/>
  </r>
  <r>
    <s v="Smartsheet"/>
    <n v="2005"/>
    <x v="19"/>
    <x v="22"/>
    <s v="$120.8M"/>
    <s v="$880M"/>
    <s v="$8.4B (Vista/Blackstone)"/>
    <n v="8400000000"/>
    <n v="3200"/>
    <s v="Insight Partners, Madrona"/>
    <s v="Work Management Platform"/>
    <n v="4.4000000000000004"/>
    <n v="880000000"/>
    <x v="51"/>
    <n v="120800000"/>
    <n v="3200"/>
    <n v="275000"/>
  </r>
  <r>
    <s v="Qualtrics"/>
    <n v="2002"/>
    <x v="24"/>
    <x v="55"/>
    <s v="$400M"/>
    <s v="$1.5B"/>
    <s v="$12.5B (Silver Lake)"/>
    <n v="12500000000"/>
    <n v="5300"/>
    <s v="Sequoia, Accel, Insight"/>
    <s v="Experience Management Platform"/>
    <n v="4.4000000000000004"/>
    <n v="1500000000"/>
    <x v="52"/>
    <n v="400000000"/>
    <n v="5300"/>
    <n v="283019"/>
  </r>
  <r>
    <s v="Wix"/>
    <n v="2006"/>
    <x v="14"/>
    <x v="56"/>
    <s v="$59M"/>
    <s v="$1.6B"/>
    <s v="$10B"/>
    <n v="10000000000"/>
    <n v="5500"/>
    <s v="Benchmark, Bessemer"/>
    <s v="Website Builder Platform"/>
    <n v="4.2"/>
    <n v="1600000000"/>
    <x v="13"/>
    <n v="59000000"/>
    <n v="5500"/>
    <n v="290909"/>
  </r>
  <r>
    <s v="Toast"/>
    <n v="2011"/>
    <x v="17"/>
    <x v="57"/>
    <s v="$902M"/>
    <s v="$3.9B"/>
    <s v="$20B"/>
    <n v="20000000000"/>
    <n v="4500"/>
    <s v="TCV, Tiger Global"/>
    <s v="Restaurant Management Platform"/>
    <n v="4.3"/>
    <n v="3900000000"/>
    <x v="24"/>
    <n v="902000000"/>
    <n v="4500"/>
    <n v="866667"/>
  </r>
  <r>
    <s v="Gong"/>
    <n v="2015"/>
    <x v="1"/>
    <x v="58"/>
    <s v="$584M"/>
    <s v="$250M"/>
    <s v="$7.3B"/>
    <n v="7300000000"/>
    <n v="1300"/>
    <s v="Sequoia, Coatue, Thrive"/>
    <s v="Revenue Intelligence Platform"/>
    <n v="4.7"/>
    <n v="250000000"/>
    <x v="53"/>
    <n v="584000000"/>
    <n v="1300"/>
    <n v="192308"/>
  </r>
  <r>
    <s v="Outreach"/>
    <n v="2014"/>
    <x v="25"/>
    <x v="59"/>
    <s v="$489M"/>
    <s v="$200M"/>
    <s v="$4.4B"/>
    <n v="4400000000"/>
    <n v="1000"/>
    <s v="Lone Pine, Meritech, Spark"/>
    <s v="Sales Engagement Platform"/>
    <n v="4.3"/>
    <n v="200000000"/>
    <x v="54"/>
    <n v="489000000"/>
    <n v="1000"/>
    <n v="200000"/>
  </r>
  <r>
    <s v="Salesloft"/>
    <n v="2011"/>
    <x v="18"/>
    <x v="59"/>
    <s v="$245M"/>
    <s v="$200M"/>
    <s v="$2.3B"/>
    <n v="2300000000"/>
    <n v="900"/>
    <s v="Insight Partners, HarbourVest"/>
    <s v="Sales Engagement Platform"/>
    <n v="4.4000000000000004"/>
    <n v="200000000"/>
    <x v="45"/>
    <n v="245000000"/>
    <n v="900"/>
    <n v="222222"/>
  </r>
  <r>
    <s v="Braze"/>
    <n v="2011"/>
    <x v="12"/>
    <x v="27"/>
    <s v="$175M"/>
    <s v="$420M"/>
    <s v="$5.6B"/>
    <n v="5600000000"/>
    <n v="1300"/>
    <s v="Spark Capital, NEA"/>
    <s v="Customer Engagement Platform"/>
    <n v="4.5"/>
    <n v="420000000"/>
    <x v="55"/>
    <n v="175000000"/>
    <n v="1300"/>
    <n v="323077"/>
  </r>
  <r>
    <s v="LaunchDarkly"/>
    <n v="2014"/>
    <x v="26"/>
    <x v="60"/>
    <s v="$330M"/>
    <s v="$100M"/>
    <s v="$3B"/>
    <n v="3000000000"/>
    <n v="350"/>
    <s v="Bessemer, Redpoint"/>
    <s v="Feature Management Platform"/>
    <n v="4.7"/>
    <n v="100000000"/>
    <x v="38"/>
    <n v="330000000"/>
    <n v="350"/>
    <n v="285714"/>
  </r>
  <r>
    <s v="Gusto"/>
    <n v="2011"/>
    <x v="1"/>
    <x v="61"/>
    <s v="$516M"/>
    <s v="$500M"/>
    <s v="$9.5B"/>
    <n v="9500000000"/>
    <n v="2500"/>
    <s v="General Catalyst, CapitalG"/>
    <s v="HR &amp; Payroll Platform"/>
    <n v="4.5"/>
    <n v="500000000"/>
    <x v="30"/>
    <n v="516000000"/>
    <n v="2500"/>
    <n v="200000"/>
  </r>
  <r>
    <s v="Rippling"/>
    <n v="2016"/>
    <x v="1"/>
    <x v="62"/>
    <s v="$1.2B"/>
    <s v="$350M"/>
    <s v="$13.5B"/>
    <n v="13500000000"/>
    <n v="2000"/>
    <s v="Founders Fund, Greenoaks"/>
    <s v="Employee Management Platform"/>
    <n v="4.8"/>
    <n v="350000000"/>
    <x v="56"/>
    <n v="1200000000"/>
    <n v="2000"/>
    <n v="175000"/>
  </r>
  <r>
    <s v="Carta"/>
    <n v="2012"/>
    <x v="1"/>
    <x v="63"/>
    <s v="$1.1B"/>
    <s v="$300M"/>
    <s v="$7.4B"/>
    <n v="7400000000"/>
    <n v="1600"/>
    <s v="Andreessen Horowitz, Lightspeed"/>
    <s v="Equity Management Platform"/>
    <n v="4.4000000000000004"/>
    <n v="300000000"/>
    <x v="57"/>
    <n v="1100000000"/>
    <n v="1600"/>
    <n v="187500"/>
  </r>
  <r>
    <s v="Plaid"/>
    <n v="2013"/>
    <x v="1"/>
    <x v="64"/>
    <s v="$734M"/>
    <s v="$400M"/>
    <s v="$13.4B"/>
    <n v="13400000000"/>
    <n v="800"/>
    <s v="NEA, Spark Capital"/>
    <s v="Financial Data Platform"/>
    <n v="4.5"/>
    <n v="400000000"/>
    <x v="58"/>
    <n v="734000000"/>
    <n v="800"/>
    <n v="500000"/>
  </r>
  <r>
    <s v="Marqeta"/>
    <n v="2010"/>
    <x v="26"/>
    <x v="65"/>
    <s v="$528M"/>
    <s v="$717M"/>
    <s v="$4.3B"/>
    <n v="4300000000"/>
    <n v="900"/>
    <s v="ICONIQ, Goldman Sachs"/>
    <s v="Card Issuing Platform"/>
    <n v="4.3"/>
    <n v="717000000"/>
    <x v="59"/>
    <n v="528000000"/>
    <n v="900"/>
    <n v="796667"/>
  </r>
  <r>
    <s v="Affirm"/>
    <n v="2012"/>
    <x v="1"/>
    <x v="66"/>
    <s v="$1.5B"/>
    <s v="$1.6B"/>
    <s v="$12B"/>
    <n v="12000000000"/>
    <n v="2500"/>
    <s v="Founders Fund, Lightspeed"/>
    <s v="Buy Now Pay Later Platform"/>
    <n v="4.0999999999999996"/>
    <n v="1600000000"/>
    <x v="18"/>
    <n v="1500000000"/>
    <n v="2500"/>
    <n v="640000"/>
  </r>
  <r>
    <s v="Ramp"/>
    <n v="2019"/>
    <x v="12"/>
    <x v="67"/>
    <s v="$1.2B"/>
    <s v="$300M"/>
    <s v="$8.1B"/>
    <n v="8100000000"/>
    <n v="500"/>
    <s v="Thrive Capital, Founders Fund"/>
    <s v="Finance Platform"/>
    <n v="4.8"/>
    <n v="300000000"/>
    <x v="60"/>
    <n v="1200000000"/>
    <n v="500"/>
    <n v="600000"/>
  </r>
  <r>
    <s v="Brex"/>
    <n v="2017"/>
    <x v="1"/>
    <x v="68"/>
    <s v="$1.5B"/>
    <s v="$400M"/>
    <s v="$12.3B"/>
    <n v="12300000000"/>
    <n v="1100"/>
    <s v="DST Global, Ribbit Capital"/>
    <s v="Financial Platform"/>
    <n v="4.5999999999999996"/>
    <n v="400000000"/>
    <x v="61"/>
    <n v="1500000000"/>
    <n v="1100"/>
    <n v="363636"/>
  </r>
  <r>
    <s v="Navan"/>
    <n v="2015"/>
    <x v="27"/>
    <x v="69"/>
    <s v="$1.5B"/>
    <s v="$400M"/>
    <s v="$9.2B"/>
    <n v="9200000000"/>
    <n v="2500"/>
    <s v="Andreessen Horowitz, Addition"/>
    <s v="Travel &amp; Expense Platform"/>
    <n v="4.7"/>
    <n v="400000000"/>
    <x v="62"/>
    <n v="1500000000"/>
    <n v="2500"/>
    <n v="160000"/>
  </r>
  <r>
    <s v="Benchling"/>
    <n v="2012"/>
    <x v="1"/>
    <x v="70"/>
    <s v="$425M"/>
    <s v="$100M"/>
    <s v="$6.1B"/>
    <n v="6100000000"/>
    <n v="600"/>
    <s v="Altimeter, Lux Capital"/>
    <s v="Life Sciences R&amp;D Platform"/>
    <n v="4.5999999999999996"/>
    <n v="100000000"/>
    <x v="63"/>
    <n v="425000000"/>
    <n v="600"/>
    <n v="166667"/>
  </r>
  <r>
    <s v="Celonis"/>
    <n v="2011"/>
    <x v="28"/>
    <x v="71"/>
    <s v="$1.4B"/>
    <s v="$600M"/>
    <s v="$13B"/>
    <n v="13000000000"/>
    <n v="3000"/>
    <s v="Arena Holdings, Durable Capital"/>
    <s v="Process Mining Platform"/>
    <n v="4.5"/>
    <n v="600000000"/>
    <x v="34"/>
    <n v="1400000000"/>
    <n v="3000"/>
    <n v="200000"/>
  </r>
  <r>
    <s v="Redis"/>
    <n v="2011"/>
    <x v="5"/>
    <x v="16"/>
    <s v="$347M"/>
    <s v="$100M"/>
    <s v="$2B"/>
    <n v="2000000000"/>
    <n v="800"/>
    <s v="Tiger Global, Softbank"/>
    <s v="In-Memory Database"/>
    <n v="4.5"/>
    <n v="100000000"/>
    <x v="64"/>
    <n v="347000000"/>
    <n v="800"/>
    <n v="125000"/>
  </r>
  <r>
    <s v="Algolia"/>
    <n v="2012"/>
    <x v="1"/>
    <x v="72"/>
    <s v="$334M"/>
    <s v="$100M"/>
    <s v="$2.3B"/>
    <n v="2300000000"/>
    <n v="700"/>
    <s v="Accel, Salesforce Ventures"/>
    <s v="Search &amp; Discovery API"/>
    <n v="4.5999999999999996"/>
    <n v="100000000"/>
    <x v="45"/>
    <n v="334000000"/>
    <n v="700"/>
    <n v="142857"/>
  </r>
  <r>
    <s v="Samsara"/>
    <n v="2015"/>
    <x v="1"/>
    <x v="73"/>
    <s v="$930M"/>
    <s v="$856M"/>
    <s v="$12B"/>
    <n v="12000000000"/>
    <n v="2100"/>
    <s v="Andreessen Horowitz, Tiger"/>
    <s v="Connected Operations Platform"/>
    <n v="4.4000000000000004"/>
    <n v="856000000"/>
    <x v="18"/>
    <n v="930000000"/>
    <n v="2100"/>
    <n v="407619"/>
  </r>
  <r>
    <s v="Verkada"/>
    <n v="2016"/>
    <x v="16"/>
    <x v="74"/>
    <s v="$460M"/>
    <s v="$400M"/>
    <s v="$3.2B"/>
    <n v="3200000000"/>
    <n v="1600"/>
    <s v="Sequoia, Felicis"/>
    <s v="Cloud Security Platform"/>
    <n v="4.7"/>
    <n v="400000000"/>
    <x v="41"/>
    <n v="460000000"/>
    <n v="1600"/>
    <n v="250000"/>
  </r>
  <r>
    <s v="JFrog"/>
    <n v="2008"/>
    <x v="29"/>
    <x v="24"/>
    <s v="$228.5M"/>
    <s v="$265M"/>
    <s v="$5.7B"/>
    <n v="5700000000"/>
    <n v="1000"/>
    <s v="Insight Partners, Qumra"/>
    <s v="DevOps Platform"/>
    <n v="4.4000000000000004"/>
    <n v="265000000"/>
    <x v="65"/>
    <n v="228500000"/>
    <n v="1000"/>
    <n v="265000"/>
  </r>
  <r>
    <s v="Netskope"/>
    <n v="2012"/>
    <x v="6"/>
    <x v="48"/>
    <s v="$1.4B"/>
    <s v="$500M"/>
    <s v="$7.5B"/>
    <n v="7500000000"/>
    <n v="2500"/>
    <s v="Sequoia, Lightspeed"/>
    <s v="SASE Platform"/>
    <n v="4.5999999999999996"/>
    <n v="500000000"/>
    <x v="66"/>
    <n v="1400000000"/>
    <n v="2500"/>
    <n v="200000"/>
  </r>
  <r>
    <s v="OneTrust"/>
    <n v="2016"/>
    <x v="18"/>
    <x v="75"/>
    <s v="$920M"/>
    <s v="$500M"/>
    <s v="$5.3B"/>
    <n v="5300000000"/>
    <n v="2500"/>
    <s v="Generation IM, Insight"/>
    <s v="Trust Intelligence Platform"/>
    <n v="4.3"/>
    <n v="500000000"/>
    <x v="67"/>
    <n v="920000000"/>
    <n v="2500"/>
    <n v="200000"/>
  </r>
  <r>
    <s v="Tanium"/>
    <n v="2007"/>
    <x v="30"/>
    <x v="76"/>
    <s v="$1B"/>
    <s v="$500M"/>
    <s v="$9.5B"/>
    <n v="9500000000"/>
    <n v="2000"/>
    <s v="Andreessen Horowitz, IVP"/>
    <s v="Endpoint Management Platform"/>
    <n v="4.2"/>
    <n v="500000000"/>
    <x v="30"/>
    <n v="1000000000"/>
    <n v="2000"/>
    <n v="250000"/>
  </r>
  <r>
    <s v="Rubrik"/>
    <n v="2014"/>
    <x v="27"/>
    <x v="77"/>
    <s v="$750M"/>
    <s v="$600M"/>
    <s v="$6B"/>
    <n v="6000000000"/>
    <n v="2600"/>
    <s v="Lightspeed, Greylock"/>
    <s v="Zero Trust Data Security"/>
    <n v="4.5999999999999996"/>
    <n v="600000000"/>
    <x v="68"/>
    <n v="750000000"/>
    <n v="2600"/>
    <n v="230769"/>
  </r>
  <r>
    <s v="AppDynamics"/>
    <n v="2008"/>
    <x v="1"/>
    <x v="78"/>
    <s v="$315M"/>
    <s v="$600M"/>
    <s v="$3.7B (Cisco)"/>
    <n v="3700000000"/>
    <n v="2000"/>
    <s v="Lightspeed, Greylock"/>
    <s v="Application Performance Monitoring"/>
    <n v="4.3"/>
    <n v="600000000"/>
    <x v="69"/>
    <n v="315000000"/>
    <n v="2000"/>
    <n v="300000"/>
  </r>
  <r>
    <s v="Snyk"/>
    <n v="2015"/>
    <x v="17"/>
    <x v="79"/>
    <s v="$1.4B"/>
    <s v="$200M"/>
    <s v="$7.4B"/>
    <n v="7400000000"/>
    <n v="1300"/>
    <s v="Tiger Global, Accel"/>
    <s v="Developer Security Platform"/>
    <n v="4.5"/>
    <n v="200000000"/>
    <x v="57"/>
    <n v="1400000000"/>
    <n v="1300"/>
    <n v="153846"/>
  </r>
  <r>
    <s v="CircleCI"/>
    <n v="2011"/>
    <x v="1"/>
    <x v="80"/>
    <s v="$315M"/>
    <s v="$100M"/>
    <s v="$1.7B"/>
    <n v="1700000000"/>
    <n v="500"/>
    <s v="IVP, DFJ Growth"/>
    <s v="CI/CD Platform"/>
    <n v="4.4000000000000004"/>
    <n v="100000000"/>
    <x v="70"/>
    <n v="315000000"/>
    <n v="500"/>
    <n v="200000"/>
  </r>
  <r>
    <s v="ServiceTitan"/>
    <n v="2012"/>
    <x v="31"/>
    <x v="81"/>
    <s v="$1.5B"/>
    <s v="$685M"/>
    <s v="$9.5B"/>
    <n v="9500000000"/>
    <n v="2700"/>
    <s v="Tiger Global, Sequoia"/>
    <s v="Field Service Management"/>
    <n v="4.2"/>
    <n v="685000000"/>
    <x v="30"/>
    <n v="1500000000"/>
    <n v="2700"/>
    <n v="253704"/>
  </r>
  <r>
    <s v="Procore"/>
    <n v="2002"/>
    <x v="32"/>
    <x v="82"/>
    <s v="$899M"/>
    <s v="$943M"/>
    <s v="$9B"/>
    <n v="9000000000"/>
    <n v="3200"/>
    <s v="Bessemer, Tiger Global"/>
    <s v="Construction Management Platform"/>
    <n v="4.5"/>
    <n v="943000000"/>
    <x v="50"/>
    <n v="899000000"/>
    <n v="3200"/>
    <n v="294688"/>
  </r>
  <r>
    <s v="Automattic"/>
    <n v="2005"/>
    <x v="1"/>
    <x v="83"/>
    <s v="$987M"/>
    <s v="$400M"/>
    <s v="$7.5B"/>
    <n v="7500000000"/>
    <n v="2000"/>
    <s v="Salesforce Ventures, Insight"/>
    <s v="WordPress.com, WooCommerce"/>
    <n v="4.4000000000000004"/>
    <n v="400000000"/>
    <x v="66"/>
    <n v="987000000"/>
    <n v="2000"/>
    <n v="200000"/>
  </r>
  <r>
    <s v="Vimeo"/>
    <n v="2004"/>
    <x v="12"/>
    <x v="84"/>
    <s v="$450M"/>
    <s v="$433M"/>
    <s v="$1.5B"/>
    <n v="1500000000"/>
    <n v="1200"/>
    <s v="Thrive Capital, IAC"/>
    <s v="Video Platform"/>
    <n v="4.2"/>
    <n v="433000000"/>
    <x v="71"/>
    <n v="450000000"/>
    <n v="1200"/>
    <n v="360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8EC67F-CC46-444B-9782-0D0CBECA122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9" firstHeaderRow="1" firstDataRow="1" firstDataCol="1"/>
  <pivotFields count="17">
    <pivotField showAll="0"/>
    <pivotField showAll="0"/>
    <pivotField showAll="0">
      <items count="34">
        <item x="18"/>
        <item x="3"/>
        <item x="19"/>
        <item x="21"/>
        <item x="17"/>
        <item x="10"/>
        <item x="11"/>
        <item x="32"/>
        <item x="13"/>
        <item x="31"/>
        <item x="30"/>
        <item x="5"/>
        <item x="28"/>
        <item x="12"/>
        <item x="26"/>
        <item x="8"/>
        <item x="27"/>
        <item x="7"/>
        <item x="24"/>
        <item x="0"/>
        <item x="15"/>
        <item x="1"/>
        <item x="2"/>
        <item x="16"/>
        <item x="22"/>
        <item x="6"/>
        <item x="20"/>
        <item x="25"/>
        <item x="29"/>
        <item x="9"/>
        <item x="14"/>
        <item x="23"/>
        <item x="4"/>
        <item t="default"/>
      </items>
    </pivotField>
    <pivotField axis="axisRow" showAll="0">
      <items count="86">
        <item x="78"/>
        <item x="66"/>
        <item x="45"/>
        <item x="65"/>
        <item x="80"/>
        <item x="48"/>
        <item x="26"/>
        <item x="39"/>
        <item x="9"/>
        <item x="18"/>
        <item x="82"/>
        <item x="50"/>
        <item x="68"/>
        <item x="2"/>
        <item x="1"/>
        <item x="43"/>
        <item x="27"/>
        <item x="42"/>
        <item x="25"/>
        <item x="49"/>
        <item x="30"/>
        <item x="20"/>
        <item x="77"/>
        <item x="31"/>
        <item x="10"/>
        <item x="16"/>
        <item x="3"/>
        <item x="23"/>
        <item x="21"/>
        <item x="79"/>
        <item x="24"/>
        <item x="12"/>
        <item x="8"/>
        <item x="37"/>
        <item x="38"/>
        <item x="76"/>
        <item x="0"/>
        <item x="63"/>
        <item x="67"/>
        <item x="55"/>
        <item x="60"/>
        <item x="81"/>
        <item x="64"/>
        <item x="53"/>
        <item x="4"/>
        <item x="6"/>
        <item x="62"/>
        <item x="61"/>
        <item x="44"/>
        <item x="17"/>
        <item x="34"/>
        <item x="32"/>
        <item x="73"/>
        <item x="5"/>
        <item x="51"/>
        <item x="70"/>
        <item x="47"/>
        <item x="11"/>
        <item x="28"/>
        <item x="15"/>
        <item x="35"/>
        <item x="19"/>
        <item x="74"/>
        <item x="75"/>
        <item x="71"/>
        <item x="46"/>
        <item x="14"/>
        <item x="57"/>
        <item x="58"/>
        <item x="29"/>
        <item x="59"/>
        <item x="54"/>
        <item x="41"/>
        <item x="33"/>
        <item x="72"/>
        <item x="52"/>
        <item x="13"/>
        <item x="69"/>
        <item x="7"/>
        <item x="84"/>
        <item x="36"/>
        <item x="83"/>
        <item x="56"/>
        <item x="22"/>
        <item x="40"/>
        <item t="default"/>
      </items>
    </pivotField>
    <pivotField showAll="0"/>
    <pivotField showAll="0"/>
    <pivotField showAll="0"/>
    <pivotField numFmtId="6" showAll="0"/>
    <pivotField showAll="0"/>
    <pivotField showAll="0"/>
    <pivotField showAll="0"/>
    <pivotField showAll="0"/>
    <pivotField showAll="0"/>
    <pivotField dataField="1" showAll="0">
      <items count="73">
        <item x="44"/>
        <item x="40"/>
        <item x="71"/>
        <item x="70"/>
        <item x="64"/>
        <item x="45"/>
        <item x="42"/>
        <item x="35"/>
        <item x="38"/>
        <item x="41"/>
        <item x="27"/>
        <item x="69"/>
        <item x="43"/>
        <item x="59"/>
        <item x="54"/>
        <item x="48"/>
        <item x="29"/>
        <item x="67"/>
        <item x="22"/>
        <item x="55"/>
        <item x="65"/>
        <item x="68"/>
        <item x="63"/>
        <item x="36"/>
        <item x="31"/>
        <item x="53"/>
        <item x="57"/>
        <item x="66"/>
        <item x="25"/>
        <item x="60"/>
        <item x="51"/>
        <item x="28"/>
        <item x="50"/>
        <item x="33"/>
        <item x="62"/>
        <item x="30"/>
        <item x="13"/>
        <item x="23"/>
        <item x="18"/>
        <item x="61"/>
        <item x="52"/>
        <item x="34"/>
        <item x="26"/>
        <item x="58"/>
        <item x="56"/>
        <item x="21"/>
        <item x="39"/>
        <item x="24"/>
        <item x="17"/>
        <item x="16"/>
        <item x="14"/>
        <item x="37"/>
        <item x="46"/>
        <item x="12"/>
        <item x="49"/>
        <item x="20"/>
        <item x="32"/>
        <item x="15"/>
        <item x="19"/>
        <item x="10"/>
        <item x="7"/>
        <item x="47"/>
        <item x="11"/>
        <item x="8"/>
        <item x="9"/>
        <item x="6"/>
        <item x="5"/>
        <item x="4"/>
        <item x="1"/>
        <item x="2"/>
        <item x="3"/>
        <item x="0"/>
        <item t="default"/>
      </items>
    </pivotField>
    <pivotField showAll="0"/>
    <pivotField showAll="0"/>
    <pivotField numFmtId="6" showAll="0"/>
  </pivotFields>
  <rowFields count="1">
    <field x="3"/>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Sum of Valuation_Numeric" fld="13" baseField="0" baseItem="0" numFmtId="4"/>
  </dataFields>
  <formats count="2">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Q" xr10:uid="{98D532C1-C8C1-724E-8823-904745898D3E}" sourceName="HQ">
  <pivotTables>
    <pivotTable tabId="3" name="PivotTable2"/>
  </pivotTables>
  <data>
    <tabular pivotCacheId="907278951">
      <items count="33">
        <i x="18" s="1"/>
        <i x="3" s="1"/>
        <i x="19" s="1"/>
        <i x="21" s="1"/>
        <i x="17" s="1"/>
        <i x="10" s="1"/>
        <i x="11" s="1"/>
        <i x="32" s="1"/>
        <i x="13" s="1"/>
        <i x="31" s="1"/>
        <i x="30" s="1"/>
        <i x="5" s="1"/>
        <i x="28" s="1"/>
        <i x="12" s="1"/>
        <i x="26" s="1"/>
        <i x="8" s="1"/>
        <i x="27" s="1"/>
        <i x="7" s="1"/>
        <i x="24" s="1"/>
        <i x="0" s="1"/>
        <i x="15" s="1"/>
        <i x="1" s="1"/>
        <i x="2" s="1"/>
        <i x="16" s="1"/>
        <i x="22" s="1"/>
        <i x="6" s="1"/>
        <i x="20" s="1"/>
        <i x="25" s="1"/>
        <i x="29" s="1"/>
        <i x="9" s="1"/>
        <i x="14" s="1"/>
        <i x="2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66EA5D80-CBBC-FA49-A24B-BFE1856EE762}" sourceName="Industry">
  <pivotTables>
    <pivotTable tabId="3" name="PivotTable2"/>
  </pivotTables>
  <data>
    <tabular pivotCacheId="907278951">
      <items count="85">
        <i x="78" s="1"/>
        <i x="66" s="1"/>
        <i x="45" s="1"/>
        <i x="65" s="1"/>
        <i x="80" s="1"/>
        <i x="48" s="1"/>
        <i x="26" s="1"/>
        <i x="39" s="1"/>
        <i x="9" s="1"/>
        <i x="18" s="1"/>
        <i x="82" s="1"/>
        <i x="50" s="1"/>
        <i x="68" s="1"/>
        <i x="2" s="1"/>
        <i x="1" s="1"/>
        <i x="43" s="1"/>
        <i x="27" s="1"/>
        <i x="42" s="1"/>
        <i x="25" s="1"/>
        <i x="49" s="1"/>
        <i x="30" s="1"/>
        <i x="20" s="1"/>
        <i x="77" s="1"/>
        <i x="31" s="1"/>
        <i x="10" s="1"/>
        <i x="16" s="1"/>
        <i x="3" s="1"/>
        <i x="23" s="1"/>
        <i x="21" s="1"/>
        <i x="79" s="1"/>
        <i x="24" s="1"/>
        <i x="12" s="1"/>
        <i x="8" s="1"/>
        <i x="37" s="1"/>
        <i x="38" s="1"/>
        <i x="76" s="1"/>
        <i x="0" s="1"/>
        <i x="63" s="1"/>
        <i x="67" s="1"/>
        <i x="55" s="1"/>
        <i x="60" s="1"/>
        <i x="81" s="1"/>
        <i x="64" s="1"/>
        <i x="53" s="1"/>
        <i x="4" s="1"/>
        <i x="6" s="1"/>
        <i x="62" s="1"/>
        <i x="61" s="1"/>
        <i x="44" s="1"/>
        <i x="17" s="1"/>
        <i x="34" s="1"/>
        <i x="32" s="1"/>
        <i x="73" s="1"/>
        <i x="5" s="1"/>
        <i x="51" s="1"/>
        <i x="70" s="1"/>
        <i x="47" s="1"/>
        <i x="11" s="1"/>
        <i x="28" s="1"/>
        <i x="15" s="1"/>
        <i x="35" s="1"/>
        <i x="19" s="1"/>
        <i x="74" s="1"/>
        <i x="75" s="1"/>
        <i x="71" s="1"/>
        <i x="46" s="1"/>
        <i x="14" s="1"/>
        <i x="57" s="1"/>
        <i x="58" s="1"/>
        <i x="29" s="1"/>
        <i x="59" s="1"/>
        <i x="54" s="1"/>
        <i x="41" s="1"/>
        <i x="33" s="1"/>
        <i x="72" s="1"/>
        <i x="52" s="1"/>
        <i x="13" s="1"/>
        <i x="69" s="1"/>
        <i x="7" s="1"/>
        <i x="84" s="1"/>
        <i x="36" s="1"/>
        <i x="83" s="1"/>
        <i x="56" s="1"/>
        <i x="22"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Q" xr10:uid="{C6FBDBD5-349D-7745-ADC9-8CD4290A803E}" cache="Slicer_HQ" caption="HQ" rowHeight="251883"/>
  <slicer name="Industry" xr10:uid="{EDC9BACC-5EAB-FD45-8E05-34DE3326B10C}" cache="Slicer_Industry" caption="Indust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024733-4FCE-6946-AAE8-A8CBBD9E4ACE}" name="Table1" displayName="Table1" ref="A1:R101" totalsRowShown="0">
  <autoFilter ref="A1:R101" xr:uid="{14024733-4FCE-6946-AAE8-A8CBBD9E4ACE}"/>
  <tableColumns count="18">
    <tableColumn id="1" xr3:uid="{711DEC82-F454-B148-9582-6351A70ACB5E}" name="Company Name"/>
    <tableColumn id="2" xr3:uid="{74C733F6-08FD-954F-97C6-DB3848BD4AF5}" name="Founded Year"/>
    <tableColumn id="3" xr3:uid="{EFACE15F-725F-6D44-B115-2C2E199B233B}" name="HQ"/>
    <tableColumn id="4" xr3:uid="{110759C1-9607-5349-BA66-5A2A6D381A9F}" name="Industry"/>
    <tableColumn id="5" xr3:uid="{6DF4F1EB-8CA2-834E-BD71-5BBCAC34EE04}" name="Total Funding"/>
    <tableColumn id="6" xr3:uid="{25DC530F-AA08-EA4A-9923-C8BC60395424}" name="ARR"/>
    <tableColumn id="7" xr3:uid="{2CB19915-179B-6D48-9DF4-03695BEA140C}" name="Valuation"/>
    <tableColumn id="8" xr3:uid="{D404D43B-018E-F84C-ADB8-93350D96A927}" name="Valuation (Cleaned)" dataDxfId="2"/>
    <tableColumn id="9" xr3:uid="{3EC94857-8F0C-1B43-9631-6508F4A0EF8A}" name="Employees"/>
    <tableColumn id="10" xr3:uid="{7E91F7F6-E73D-3145-A669-CAF532A02390}" name="Top Investors"/>
    <tableColumn id="11" xr3:uid="{988212FF-C239-734F-8EDF-2EFC0297C98C}" name="Product"/>
    <tableColumn id="12" xr3:uid="{017072AD-7407-7E46-B162-792393C43354}" name="G2 Rating"/>
    <tableColumn id="13" xr3:uid="{8825B0FD-BEA4-B342-934D-FEAC03CB99E2}" name="ARR_Numeric"/>
    <tableColumn id="14" xr3:uid="{215583F1-B701-5142-9FCA-FD983A031B1A}" name="Valuation_Numeric"/>
    <tableColumn id="15" xr3:uid="{786F3696-8555-0642-9431-F36A27AC948F}" name="Funding_Numeric"/>
    <tableColumn id="16" xr3:uid="{B072810D-42FA-1449-91A1-0B9CDDFDA65A}" name="Employees_Numeric"/>
    <tableColumn id="17" xr3:uid="{7BC26D0B-BF80-574D-8935-55D0C2EE6FAE}" name="Revenue_per_Employee" dataDxfId="1"/>
    <tableColumn id="18" xr3:uid="{992F739C-866C-B54A-B6F5-F7867B042951}" name="Company_Era" dataDxfId="0">
      <calculatedColumnFormula>IF(B2&lt;2010, "Legacy","Modern")</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F868-04CD-0F41-A57C-D8064169E083}">
  <dimension ref="A3:B89"/>
  <sheetViews>
    <sheetView workbookViewId="0">
      <selection activeCell="C12" sqref="C12"/>
    </sheetView>
  </sheetViews>
  <sheetFormatPr baseColWidth="10" defaultRowHeight="16" x14ac:dyDescent="0.2"/>
  <cols>
    <col min="1" max="1" width="21.1640625" bestFit="1" customWidth="1"/>
    <col min="2" max="2" width="23.33203125" style="5" bestFit="1" customWidth="1"/>
    <col min="3" max="37" width="11.1640625" bestFit="1" customWidth="1"/>
    <col min="38" max="66" width="12.1640625" bestFit="1" customWidth="1"/>
    <col min="67" max="67" width="9.1640625" bestFit="1" customWidth="1"/>
    <col min="68" max="68" width="8.1640625" bestFit="1" customWidth="1"/>
    <col min="69" max="69" width="9.1640625" bestFit="1" customWidth="1"/>
    <col min="70" max="70" width="10.1640625" bestFit="1" customWidth="1"/>
    <col min="71" max="72" width="8.1640625" bestFit="1" customWidth="1"/>
    <col min="73" max="73" width="6.1640625" bestFit="1" customWidth="1"/>
    <col min="74" max="74" width="10.5" bestFit="1" customWidth="1"/>
  </cols>
  <sheetData>
    <row r="3" spans="1:2" x14ac:dyDescent="0.2">
      <c r="A3" s="3" t="s">
        <v>637</v>
      </c>
      <c r="B3" s="5" t="s">
        <v>639</v>
      </c>
    </row>
    <row r="4" spans="1:2" x14ac:dyDescent="0.2">
      <c r="A4" s="4" t="s">
        <v>602</v>
      </c>
      <c r="B4" s="5">
        <v>3700000000</v>
      </c>
    </row>
    <row r="5" spans="1:2" x14ac:dyDescent="0.2">
      <c r="A5" s="4" t="s">
        <v>525</v>
      </c>
      <c r="B5" s="5">
        <v>12000000000</v>
      </c>
    </row>
    <row r="6" spans="1:2" x14ac:dyDescent="0.2">
      <c r="A6" s="4" t="s">
        <v>363</v>
      </c>
      <c r="B6" s="5">
        <v>2600000000</v>
      </c>
    </row>
    <row r="7" spans="1:2" x14ac:dyDescent="0.2">
      <c r="A7" s="4" t="s">
        <v>519</v>
      </c>
      <c r="B7" s="5">
        <v>4300000000</v>
      </c>
    </row>
    <row r="8" spans="1:2" x14ac:dyDescent="0.2">
      <c r="A8" s="4" t="s">
        <v>611</v>
      </c>
      <c r="B8" s="5">
        <v>1700000000</v>
      </c>
    </row>
    <row r="9" spans="1:2" x14ac:dyDescent="0.2">
      <c r="A9" s="4" t="s">
        <v>387</v>
      </c>
      <c r="B9" s="5">
        <v>37500000000</v>
      </c>
    </row>
    <row r="10" spans="1:2" x14ac:dyDescent="0.2">
      <c r="A10" s="4" t="s">
        <v>231</v>
      </c>
      <c r="B10" s="5">
        <v>12000000000</v>
      </c>
    </row>
    <row r="11" spans="1:2" x14ac:dyDescent="0.2">
      <c r="A11" s="4" t="s">
        <v>326</v>
      </c>
      <c r="B11" s="5">
        <v>17500000000</v>
      </c>
    </row>
    <row r="12" spans="1:2" x14ac:dyDescent="0.2">
      <c r="A12" s="4" t="s">
        <v>96</v>
      </c>
      <c r="B12" s="5">
        <v>55000000000</v>
      </c>
    </row>
    <row r="13" spans="1:2" x14ac:dyDescent="0.2">
      <c r="A13" s="4" t="s">
        <v>158</v>
      </c>
      <c r="B13" s="5">
        <v>17000000000</v>
      </c>
    </row>
    <row r="14" spans="1:2" x14ac:dyDescent="0.2">
      <c r="A14" s="4" t="s">
        <v>622</v>
      </c>
      <c r="B14" s="5">
        <v>9000000000</v>
      </c>
    </row>
    <row r="15" spans="1:2" x14ac:dyDescent="0.2">
      <c r="A15" s="4" t="s">
        <v>412</v>
      </c>
      <c r="B15" s="5">
        <v>8000000000</v>
      </c>
    </row>
    <row r="16" spans="1:2" x14ac:dyDescent="0.2">
      <c r="A16" s="4" t="s">
        <v>534</v>
      </c>
      <c r="B16" s="5">
        <v>12300000000</v>
      </c>
    </row>
    <row r="17" spans="1:2" x14ac:dyDescent="0.2">
      <c r="A17" s="4" t="s">
        <v>35</v>
      </c>
      <c r="B17" s="5">
        <v>240000000000</v>
      </c>
    </row>
    <row r="18" spans="1:2" x14ac:dyDescent="0.2">
      <c r="A18" s="4" t="s">
        <v>27</v>
      </c>
      <c r="B18" s="5">
        <v>227800000000</v>
      </c>
    </row>
    <row r="19" spans="1:2" x14ac:dyDescent="0.2">
      <c r="A19" s="4" t="s">
        <v>349</v>
      </c>
      <c r="B19" s="5">
        <v>3200000000</v>
      </c>
    </row>
    <row r="20" spans="1:2" x14ac:dyDescent="0.2">
      <c r="A20" s="4" t="s">
        <v>241</v>
      </c>
      <c r="B20" s="5">
        <v>10800000000</v>
      </c>
    </row>
    <row r="21" spans="1:2" x14ac:dyDescent="0.2">
      <c r="A21" s="4" t="s">
        <v>344</v>
      </c>
      <c r="B21" s="5">
        <v>1300000000</v>
      </c>
    </row>
    <row r="22" spans="1:2" x14ac:dyDescent="0.2">
      <c r="A22" s="4" t="s">
        <v>223</v>
      </c>
      <c r="B22" s="5">
        <v>13200000000</v>
      </c>
    </row>
    <row r="23" spans="1:2" x14ac:dyDescent="0.2">
      <c r="A23" s="4" t="s">
        <v>393</v>
      </c>
      <c r="B23" s="5">
        <v>165000000000</v>
      </c>
    </row>
    <row r="24" spans="1:2" x14ac:dyDescent="0.2">
      <c r="A24" s="4" t="s">
        <v>262</v>
      </c>
      <c r="B24" s="5">
        <v>43000000000</v>
      </c>
    </row>
    <row r="25" spans="1:2" x14ac:dyDescent="0.2">
      <c r="A25" s="4" t="s">
        <v>177</v>
      </c>
      <c r="B25" s="5">
        <v>80000000000</v>
      </c>
    </row>
    <row r="26" spans="1:2" x14ac:dyDescent="0.2">
      <c r="A26" s="4" t="s">
        <v>596</v>
      </c>
      <c r="B26" s="5">
        <v>6000000000</v>
      </c>
    </row>
    <row r="27" spans="1:2" x14ac:dyDescent="0.2">
      <c r="A27" s="4" t="s">
        <v>268</v>
      </c>
      <c r="B27" s="5">
        <v>9100000000</v>
      </c>
    </row>
    <row r="28" spans="1:2" x14ac:dyDescent="0.2">
      <c r="A28" s="4" t="s">
        <v>104</v>
      </c>
      <c r="B28" s="5">
        <v>75000000000</v>
      </c>
    </row>
    <row r="29" spans="1:2" x14ac:dyDescent="0.2">
      <c r="A29" s="4" t="s">
        <v>146</v>
      </c>
      <c r="B29" s="5">
        <v>28000000000</v>
      </c>
    </row>
    <row r="30" spans="1:2" x14ac:dyDescent="0.2">
      <c r="A30" s="4" t="s">
        <v>43</v>
      </c>
      <c r="B30" s="5">
        <v>350000000000</v>
      </c>
    </row>
    <row r="31" spans="1:2" x14ac:dyDescent="0.2">
      <c r="A31" s="4" t="s">
        <v>203</v>
      </c>
      <c r="B31" s="5">
        <v>11000000000</v>
      </c>
    </row>
    <row r="32" spans="1:2" x14ac:dyDescent="0.2">
      <c r="A32" s="4" t="s">
        <v>183</v>
      </c>
      <c r="B32" s="5">
        <v>60000000000</v>
      </c>
    </row>
    <row r="33" spans="1:2" x14ac:dyDescent="0.2">
      <c r="A33" s="4" t="s">
        <v>607</v>
      </c>
      <c r="B33" s="5">
        <v>7400000000</v>
      </c>
    </row>
    <row r="34" spans="1:2" x14ac:dyDescent="0.2">
      <c r="A34" s="4" t="s">
        <v>216</v>
      </c>
      <c r="B34" s="5">
        <v>13700000000</v>
      </c>
    </row>
    <row r="35" spans="1:2" x14ac:dyDescent="0.2">
      <c r="A35" s="4" t="s">
        <v>119</v>
      </c>
      <c r="B35" s="5">
        <v>10000000000</v>
      </c>
    </row>
    <row r="36" spans="1:2" x14ac:dyDescent="0.2">
      <c r="A36" s="4" t="s">
        <v>88</v>
      </c>
      <c r="B36" s="5">
        <v>95000000000</v>
      </c>
    </row>
    <row r="37" spans="1:2" x14ac:dyDescent="0.2">
      <c r="A37" s="4" t="s">
        <v>313</v>
      </c>
      <c r="B37" s="5">
        <v>3000000000</v>
      </c>
    </row>
    <row r="38" spans="1:2" x14ac:dyDescent="0.2">
      <c r="A38" s="4" t="s">
        <v>321</v>
      </c>
      <c r="B38" s="5">
        <v>12000000000</v>
      </c>
    </row>
    <row r="39" spans="1:2" x14ac:dyDescent="0.2">
      <c r="A39" s="4" t="s">
        <v>592</v>
      </c>
      <c r="B39" s="5">
        <v>9500000000</v>
      </c>
    </row>
    <row r="40" spans="1:2" x14ac:dyDescent="0.2">
      <c r="A40" s="4" t="s">
        <v>19</v>
      </c>
      <c r="B40" s="5">
        <v>3215000000000</v>
      </c>
    </row>
    <row r="41" spans="1:2" x14ac:dyDescent="0.2">
      <c r="A41" s="4" t="s">
        <v>508</v>
      </c>
      <c r="B41" s="5">
        <v>7400000000</v>
      </c>
    </row>
    <row r="42" spans="1:2" x14ac:dyDescent="0.2">
      <c r="A42" s="4" t="s">
        <v>529</v>
      </c>
      <c r="B42" s="5">
        <v>8100000000</v>
      </c>
    </row>
    <row r="43" spans="1:2" x14ac:dyDescent="0.2">
      <c r="A43" s="4" t="s">
        <v>451</v>
      </c>
      <c r="B43" s="5">
        <v>12500000000</v>
      </c>
    </row>
    <row r="44" spans="1:2" x14ac:dyDescent="0.2">
      <c r="A44" s="4" t="s">
        <v>492</v>
      </c>
      <c r="B44" s="5">
        <v>3000000000</v>
      </c>
    </row>
    <row r="45" spans="1:2" x14ac:dyDescent="0.2">
      <c r="A45" s="4" t="s">
        <v>616</v>
      </c>
      <c r="B45" s="5">
        <v>9500000000</v>
      </c>
    </row>
    <row r="46" spans="1:2" x14ac:dyDescent="0.2">
      <c r="A46" s="4" t="s">
        <v>513</v>
      </c>
      <c r="B46" s="5">
        <v>13400000000</v>
      </c>
    </row>
    <row r="47" spans="1:2" x14ac:dyDescent="0.2">
      <c r="A47" s="4" t="s">
        <v>432</v>
      </c>
      <c r="B47" s="5">
        <v>9000000000</v>
      </c>
    </row>
    <row r="48" spans="1:2" x14ac:dyDescent="0.2">
      <c r="A48" s="4" t="s">
        <v>57</v>
      </c>
      <c r="B48" s="5">
        <v>180000000000</v>
      </c>
    </row>
    <row r="49" spans="1:2" x14ac:dyDescent="0.2">
      <c r="A49" s="4" t="s">
        <v>73</v>
      </c>
      <c r="B49" s="5">
        <v>65000000000</v>
      </c>
    </row>
    <row r="50" spans="1:2" x14ac:dyDescent="0.2">
      <c r="A50" s="4" t="s">
        <v>501</v>
      </c>
      <c r="B50" s="5">
        <v>13500000000</v>
      </c>
    </row>
    <row r="51" spans="1:2" x14ac:dyDescent="0.2">
      <c r="A51" s="4" t="s">
        <v>496</v>
      </c>
      <c r="B51" s="5">
        <v>9500000000</v>
      </c>
    </row>
    <row r="52" spans="1:2" x14ac:dyDescent="0.2">
      <c r="A52" s="4" t="s">
        <v>356</v>
      </c>
      <c r="B52" s="5">
        <v>6500000000</v>
      </c>
    </row>
    <row r="53" spans="1:2" x14ac:dyDescent="0.2">
      <c r="A53" s="4" t="s">
        <v>152</v>
      </c>
      <c r="B53" s="5">
        <v>25000000000</v>
      </c>
    </row>
    <row r="54" spans="1:2" x14ac:dyDescent="0.2">
      <c r="A54" s="4" t="s">
        <v>288</v>
      </c>
      <c r="B54" s="5">
        <v>2800000000</v>
      </c>
    </row>
    <row r="55" spans="1:2" x14ac:dyDescent="0.2">
      <c r="A55" s="4" t="s">
        <v>275</v>
      </c>
      <c r="B55" s="5">
        <v>13000000000</v>
      </c>
    </row>
    <row r="56" spans="1:2" x14ac:dyDescent="0.2">
      <c r="A56" s="4" t="s">
        <v>565</v>
      </c>
      <c r="B56" s="5">
        <v>12000000000</v>
      </c>
    </row>
    <row r="57" spans="1:2" x14ac:dyDescent="0.2">
      <c r="A57" s="4" t="s">
        <v>65</v>
      </c>
      <c r="B57" s="5">
        <v>147000000000</v>
      </c>
    </row>
    <row r="58" spans="1:2" x14ac:dyDescent="0.2">
      <c r="A58" s="4" t="s">
        <v>418</v>
      </c>
      <c r="B58" s="5">
        <v>35000000000</v>
      </c>
    </row>
    <row r="59" spans="1:2" x14ac:dyDescent="0.2">
      <c r="A59" s="4" t="s">
        <v>545</v>
      </c>
      <c r="B59" s="5">
        <v>6100000000</v>
      </c>
    </row>
    <row r="60" spans="1:2" x14ac:dyDescent="0.2">
      <c r="A60" s="4" t="s">
        <v>380</v>
      </c>
      <c r="B60" s="5">
        <v>2300000000</v>
      </c>
    </row>
    <row r="61" spans="1:2" x14ac:dyDescent="0.2">
      <c r="A61" s="4" t="s">
        <v>112</v>
      </c>
      <c r="B61" s="5">
        <v>32000000000</v>
      </c>
    </row>
    <row r="62" spans="1:2" x14ac:dyDescent="0.2">
      <c r="A62" s="4" t="s">
        <v>249</v>
      </c>
      <c r="B62" s="5">
        <v>9500000000</v>
      </c>
    </row>
    <row r="63" spans="1:2" x14ac:dyDescent="0.2">
      <c r="A63" s="4" t="s">
        <v>139</v>
      </c>
      <c r="B63" s="5">
        <v>44000000000</v>
      </c>
    </row>
    <row r="64" spans="1:2" x14ac:dyDescent="0.2">
      <c r="A64" s="4" t="s">
        <v>294</v>
      </c>
      <c r="B64" s="5">
        <v>6500000000</v>
      </c>
    </row>
    <row r="65" spans="1:2" x14ac:dyDescent="0.2">
      <c r="A65" s="4" t="s">
        <v>165</v>
      </c>
      <c r="B65" s="5">
        <v>150000000000</v>
      </c>
    </row>
    <row r="66" spans="1:2" x14ac:dyDescent="0.2">
      <c r="A66" s="4" t="s">
        <v>571</v>
      </c>
      <c r="B66" s="5">
        <v>3200000000</v>
      </c>
    </row>
    <row r="67" spans="1:2" x14ac:dyDescent="0.2">
      <c r="A67" s="4" t="s">
        <v>585</v>
      </c>
      <c r="B67" s="5">
        <v>5300000000</v>
      </c>
    </row>
    <row r="68" spans="1:2" x14ac:dyDescent="0.2">
      <c r="A68" s="4" t="s">
        <v>552</v>
      </c>
      <c r="B68" s="5">
        <v>13000000000</v>
      </c>
    </row>
    <row r="69" spans="1:2" x14ac:dyDescent="0.2">
      <c r="A69" s="4" t="s">
        <v>369</v>
      </c>
      <c r="B69" s="5">
        <v>5050000000</v>
      </c>
    </row>
    <row r="70" spans="1:2" x14ac:dyDescent="0.2">
      <c r="A70" s="4" t="s">
        <v>132</v>
      </c>
      <c r="B70" s="5">
        <v>10000000000</v>
      </c>
    </row>
    <row r="71" spans="1:2" x14ac:dyDescent="0.2">
      <c r="A71" s="4" t="s">
        <v>462</v>
      </c>
      <c r="B71" s="5">
        <v>20000000000</v>
      </c>
    </row>
    <row r="72" spans="1:2" x14ac:dyDescent="0.2">
      <c r="A72" s="4" t="s">
        <v>469</v>
      </c>
      <c r="B72" s="5">
        <v>7300000000</v>
      </c>
    </row>
    <row r="73" spans="1:2" x14ac:dyDescent="0.2">
      <c r="A73" s="4" t="s">
        <v>256</v>
      </c>
      <c r="B73" s="5">
        <v>7000000000</v>
      </c>
    </row>
    <row r="74" spans="1:2" x14ac:dyDescent="0.2">
      <c r="A74" s="4" t="s">
        <v>476</v>
      </c>
      <c r="B74" s="5">
        <v>6700000000</v>
      </c>
    </row>
    <row r="75" spans="1:2" x14ac:dyDescent="0.2">
      <c r="A75" s="4" t="s">
        <v>440</v>
      </c>
      <c r="B75" s="5">
        <v>12000000000</v>
      </c>
    </row>
    <row r="76" spans="1:2" x14ac:dyDescent="0.2">
      <c r="A76" s="4" t="s">
        <v>337</v>
      </c>
      <c r="B76" s="5">
        <v>3000000000</v>
      </c>
    </row>
    <row r="77" spans="1:2" x14ac:dyDescent="0.2">
      <c r="A77" s="4" t="s">
        <v>282</v>
      </c>
      <c r="B77" s="5">
        <v>8000000000</v>
      </c>
    </row>
    <row r="78" spans="1:2" x14ac:dyDescent="0.2">
      <c r="A78" s="4" t="s">
        <v>560</v>
      </c>
      <c r="B78" s="5">
        <v>2300000000</v>
      </c>
    </row>
    <row r="79" spans="1:2" x14ac:dyDescent="0.2">
      <c r="A79" s="4" t="s">
        <v>425</v>
      </c>
      <c r="B79" s="5">
        <v>8000000000</v>
      </c>
    </row>
    <row r="80" spans="1:2" x14ac:dyDescent="0.2">
      <c r="A80" s="4" t="s">
        <v>126</v>
      </c>
      <c r="B80" s="5">
        <v>27700000000</v>
      </c>
    </row>
    <row r="81" spans="1:2" x14ac:dyDescent="0.2">
      <c r="A81" s="4" t="s">
        <v>540</v>
      </c>
      <c r="B81" s="5">
        <v>9200000000</v>
      </c>
    </row>
    <row r="82" spans="1:2" x14ac:dyDescent="0.2">
      <c r="A82" s="4" t="s">
        <v>80</v>
      </c>
      <c r="B82" s="5">
        <v>85000000000</v>
      </c>
    </row>
    <row r="83" spans="1:2" x14ac:dyDescent="0.2">
      <c r="A83" s="4" t="s">
        <v>633</v>
      </c>
      <c r="B83" s="5">
        <v>1500000000</v>
      </c>
    </row>
    <row r="84" spans="1:2" x14ac:dyDescent="0.2">
      <c r="A84" s="4" t="s">
        <v>307</v>
      </c>
      <c r="B84" s="5">
        <v>28000000000</v>
      </c>
    </row>
    <row r="85" spans="1:2" x14ac:dyDescent="0.2">
      <c r="A85" s="4" t="s">
        <v>628</v>
      </c>
      <c r="B85" s="5">
        <v>7500000000</v>
      </c>
    </row>
    <row r="86" spans="1:2" x14ac:dyDescent="0.2">
      <c r="A86" s="4" t="s">
        <v>457</v>
      </c>
      <c r="B86" s="5">
        <v>10000000000</v>
      </c>
    </row>
    <row r="87" spans="1:2" x14ac:dyDescent="0.2">
      <c r="A87" s="4" t="s">
        <v>191</v>
      </c>
      <c r="B87" s="5">
        <v>27900000000</v>
      </c>
    </row>
    <row r="88" spans="1:2" x14ac:dyDescent="0.2">
      <c r="A88" s="4" t="s">
        <v>332</v>
      </c>
      <c r="B88" s="5">
        <v>13000000000</v>
      </c>
    </row>
    <row r="89" spans="1:2" x14ac:dyDescent="0.2">
      <c r="A89" s="4" t="s">
        <v>638</v>
      </c>
      <c r="B89" s="5">
        <v>6024850000000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FD13-38E4-0448-A048-096354C623AB}">
  <dimension ref="A1:R101"/>
  <sheetViews>
    <sheetView tabSelected="1" topLeftCell="I1" workbookViewId="0">
      <selection activeCell="R3" sqref="R3"/>
    </sheetView>
  </sheetViews>
  <sheetFormatPr baseColWidth="10" defaultRowHeight="16" x14ac:dyDescent="0.2"/>
  <cols>
    <col min="1" max="1" width="16.6640625" customWidth="1"/>
    <col min="2" max="2" width="14.5" customWidth="1"/>
    <col min="5" max="5" width="14.33203125" customWidth="1"/>
    <col min="7" max="7" width="11.33203125" customWidth="1"/>
    <col min="8" max="8" width="19.83203125" customWidth="1"/>
    <col min="9" max="9" width="12.5" customWidth="1"/>
    <col min="10" max="10" width="14.33203125" customWidth="1"/>
    <col min="12" max="12" width="11.5" customWidth="1"/>
    <col min="13" max="13" width="15" customWidth="1"/>
    <col min="14" max="14" width="19.33203125" customWidth="1"/>
    <col min="15" max="15" width="18" customWidth="1"/>
    <col min="16" max="16" width="20.5" customWidth="1"/>
    <col min="17" max="17" width="22.83203125" customWidth="1"/>
    <col min="18" max="18" width="1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640</v>
      </c>
    </row>
    <row r="2" spans="1:18" x14ac:dyDescent="0.2">
      <c r="A2" t="s">
        <v>17</v>
      </c>
      <c r="B2">
        <v>1975</v>
      </c>
      <c r="C2" t="s">
        <v>18</v>
      </c>
      <c r="D2" t="s">
        <v>19</v>
      </c>
      <c r="E2" t="s">
        <v>20</v>
      </c>
      <c r="F2" t="s">
        <v>21</v>
      </c>
      <c r="G2" t="s">
        <v>22</v>
      </c>
      <c r="H2" s="1">
        <v>3000000000000</v>
      </c>
      <c r="I2">
        <v>221000</v>
      </c>
      <c r="J2" t="s">
        <v>23</v>
      </c>
      <c r="K2" t="s">
        <v>24</v>
      </c>
      <c r="L2">
        <v>4.4000000000000004</v>
      </c>
      <c r="M2" s="2">
        <v>270000000000</v>
      </c>
      <c r="N2" s="2">
        <v>3000000000000</v>
      </c>
      <c r="O2">
        <v>1000000000</v>
      </c>
      <c r="P2">
        <v>221000</v>
      </c>
      <c r="Q2" s="1">
        <v>1221719</v>
      </c>
      <c r="R2" t="str">
        <f t="shared" ref="R2:R33" si="0">IF(B2&lt;2010, "Legacy","Modern")</f>
        <v>Legacy</v>
      </c>
    </row>
    <row r="3" spans="1:18" x14ac:dyDescent="0.2">
      <c r="A3" t="s">
        <v>25</v>
      </c>
      <c r="B3">
        <v>1999</v>
      </c>
      <c r="C3" t="s">
        <v>26</v>
      </c>
      <c r="D3" t="s">
        <v>27</v>
      </c>
      <c r="E3" t="s">
        <v>28</v>
      </c>
      <c r="F3" t="s">
        <v>29</v>
      </c>
      <c r="G3" t="s">
        <v>30</v>
      </c>
      <c r="H3" s="1">
        <v>227800000000</v>
      </c>
      <c r="I3">
        <v>75000</v>
      </c>
      <c r="J3" t="s">
        <v>31</v>
      </c>
      <c r="K3" t="s">
        <v>32</v>
      </c>
      <c r="L3">
        <v>4.3</v>
      </c>
      <c r="M3">
        <v>37900000000</v>
      </c>
      <c r="N3" s="2">
        <v>227800000000</v>
      </c>
      <c r="O3">
        <v>65400000</v>
      </c>
      <c r="P3">
        <v>75000</v>
      </c>
      <c r="Q3" s="1">
        <v>505333</v>
      </c>
      <c r="R3" t="str">
        <f t="shared" si="0"/>
        <v>Legacy</v>
      </c>
    </row>
    <row r="4" spans="1:18" x14ac:dyDescent="0.2">
      <c r="A4" t="s">
        <v>33</v>
      </c>
      <c r="B4">
        <v>1982</v>
      </c>
      <c r="C4" t="s">
        <v>34</v>
      </c>
      <c r="D4" t="s">
        <v>35</v>
      </c>
      <c r="E4" t="s">
        <v>36</v>
      </c>
      <c r="F4" t="s">
        <v>37</v>
      </c>
      <c r="G4" t="s">
        <v>38</v>
      </c>
      <c r="H4" s="1">
        <v>240000000000</v>
      </c>
      <c r="I4">
        <v>29945</v>
      </c>
      <c r="J4" t="s">
        <v>39</v>
      </c>
      <c r="K4" t="s">
        <v>40</v>
      </c>
      <c r="L4">
        <v>4.5</v>
      </c>
      <c r="M4">
        <v>19400000000</v>
      </c>
      <c r="N4" s="2">
        <v>240000000000</v>
      </c>
      <c r="O4">
        <v>2500000</v>
      </c>
      <c r="P4">
        <v>29945</v>
      </c>
      <c r="Q4" s="1">
        <v>647854</v>
      </c>
      <c r="R4" t="str">
        <f t="shared" si="0"/>
        <v>Legacy</v>
      </c>
    </row>
    <row r="5" spans="1:18" x14ac:dyDescent="0.2">
      <c r="A5" t="s">
        <v>41</v>
      </c>
      <c r="B5">
        <v>1977</v>
      </c>
      <c r="C5" t="s">
        <v>42</v>
      </c>
      <c r="D5" t="s">
        <v>43</v>
      </c>
      <c r="E5" t="s">
        <v>44</v>
      </c>
      <c r="F5" t="s">
        <v>45</v>
      </c>
      <c r="G5" t="s">
        <v>46</v>
      </c>
      <c r="H5" s="1">
        <v>350000000000</v>
      </c>
      <c r="I5">
        <v>143000</v>
      </c>
      <c r="J5" t="s">
        <v>47</v>
      </c>
      <c r="K5" t="s">
        <v>48</v>
      </c>
      <c r="L5">
        <v>4</v>
      </c>
      <c r="M5">
        <v>52900000000</v>
      </c>
      <c r="N5" s="2">
        <v>350000000000</v>
      </c>
      <c r="O5">
        <v>2000</v>
      </c>
      <c r="P5">
        <v>143000</v>
      </c>
      <c r="Q5" s="1">
        <v>369930</v>
      </c>
      <c r="R5" t="str">
        <f t="shared" si="0"/>
        <v>Legacy</v>
      </c>
    </row>
    <row r="6" spans="1:18" x14ac:dyDescent="0.2">
      <c r="A6" t="s">
        <v>49</v>
      </c>
      <c r="B6">
        <v>1972</v>
      </c>
      <c r="C6" t="s">
        <v>50</v>
      </c>
      <c r="D6" t="s">
        <v>19</v>
      </c>
      <c r="F6" t="s">
        <v>51</v>
      </c>
      <c r="G6" t="s">
        <v>52</v>
      </c>
      <c r="H6" s="1">
        <v>215000000000</v>
      </c>
      <c r="I6">
        <v>107415</v>
      </c>
      <c r="J6" t="s">
        <v>53</v>
      </c>
      <c r="K6" t="s">
        <v>54</v>
      </c>
      <c r="L6">
        <v>4.0999999999999996</v>
      </c>
      <c r="M6">
        <v>32500000000</v>
      </c>
      <c r="N6" s="2">
        <v>215000000000</v>
      </c>
      <c r="O6">
        <v>0</v>
      </c>
      <c r="P6">
        <v>107415</v>
      </c>
      <c r="Q6" s="1">
        <v>302565</v>
      </c>
      <c r="R6" t="str">
        <f t="shared" si="0"/>
        <v>Legacy</v>
      </c>
    </row>
    <row r="7" spans="1:18" x14ac:dyDescent="0.2">
      <c r="A7" t="s">
        <v>55</v>
      </c>
      <c r="B7">
        <v>1983</v>
      </c>
      <c r="C7" t="s">
        <v>56</v>
      </c>
      <c r="D7" t="s">
        <v>57</v>
      </c>
      <c r="E7" t="s">
        <v>58</v>
      </c>
      <c r="F7" t="s">
        <v>59</v>
      </c>
      <c r="G7" t="s">
        <v>60</v>
      </c>
      <c r="H7" s="1">
        <v>180000000000</v>
      </c>
      <c r="I7">
        <v>18200</v>
      </c>
      <c r="J7" t="s">
        <v>61</v>
      </c>
      <c r="K7" t="s">
        <v>62</v>
      </c>
      <c r="L7">
        <v>4.4000000000000004</v>
      </c>
      <c r="M7">
        <v>14400000000</v>
      </c>
      <c r="N7" s="2">
        <v>180000000000</v>
      </c>
      <c r="O7">
        <v>273000000</v>
      </c>
      <c r="P7">
        <v>18200</v>
      </c>
      <c r="Q7" s="1">
        <v>791209</v>
      </c>
      <c r="R7" t="str">
        <f t="shared" si="0"/>
        <v>Legacy</v>
      </c>
    </row>
    <row r="8" spans="1:18" x14ac:dyDescent="0.2">
      <c r="A8" t="s">
        <v>63</v>
      </c>
      <c r="B8">
        <v>2004</v>
      </c>
      <c r="C8" t="s">
        <v>64</v>
      </c>
      <c r="D8" t="s">
        <v>65</v>
      </c>
      <c r="E8" t="s">
        <v>66</v>
      </c>
      <c r="F8" t="s">
        <v>67</v>
      </c>
      <c r="G8" t="s">
        <v>68</v>
      </c>
      <c r="H8" s="1">
        <v>147000000000</v>
      </c>
      <c r="I8">
        <v>20000</v>
      </c>
      <c r="J8" t="s">
        <v>69</v>
      </c>
      <c r="K8" t="s">
        <v>70</v>
      </c>
      <c r="L8">
        <v>4.4000000000000004</v>
      </c>
      <c r="M8">
        <v>8900000000</v>
      </c>
      <c r="N8" s="2">
        <v>147000000000</v>
      </c>
      <c r="O8">
        <v>82500000</v>
      </c>
      <c r="P8">
        <v>20000</v>
      </c>
      <c r="Q8" s="1">
        <v>445000</v>
      </c>
      <c r="R8" t="str">
        <f t="shared" si="0"/>
        <v>Legacy</v>
      </c>
    </row>
    <row r="9" spans="1:18" x14ac:dyDescent="0.2">
      <c r="A9" t="s">
        <v>71</v>
      </c>
      <c r="B9">
        <v>2005</v>
      </c>
      <c r="C9" t="s">
        <v>72</v>
      </c>
      <c r="D9" t="s">
        <v>73</v>
      </c>
      <c r="E9" t="s">
        <v>74</v>
      </c>
      <c r="F9" t="s">
        <v>75</v>
      </c>
      <c r="G9" t="s">
        <v>76</v>
      </c>
      <c r="H9" s="1">
        <v>65000000000</v>
      </c>
      <c r="I9">
        <v>18800</v>
      </c>
      <c r="J9" t="s">
        <v>77</v>
      </c>
      <c r="K9" t="s">
        <v>78</v>
      </c>
      <c r="L9">
        <v>4.2</v>
      </c>
      <c r="M9">
        <v>7300000000</v>
      </c>
      <c r="N9">
        <v>65000000000</v>
      </c>
      <c r="O9">
        <v>249900000</v>
      </c>
      <c r="P9">
        <v>18800</v>
      </c>
      <c r="Q9" s="1">
        <v>388298</v>
      </c>
      <c r="R9" t="str">
        <f t="shared" si="0"/>
        <v>Legacy</v>
      </c>
    </row>
    <row r="10" spans="1:18" x14ac:dyDescent="0.2">
      <c r="A10" t="s">
        <v>79</v>
      </c>
      <c r="B10">
        <v>2011</v>
      </c>
      <c r="C10" t="s">
        <v>34</v>
      </c>
      <c r="D10" t="s">
        <v>80</v>
      </c>
      <c r="E10" t="s">
        <v>81</v>
      </c>
      <c r="F10" t="s">
        <v>82</v>
      </c>
      <c r="G10" t="s">
        <v>83</v>
      </c>
      <c r="H10" s="1">
        <v>85000000000</v>
      </c>
      <c r="I10">
        <v>7388</v>
      </c>
      <c r="J10" t="s">
        <v>84</v>
      </c>
      <c r="K10" t="s">
        <v>85</v>
      </c>
      <c r="L10">
        <v>4.5</v>
      </c>
      <c r="M10">
        <v>4500000000</v>
      </c>
      <c r="N10">
        <v>85000000000</v>
      </c>
      <c r="O10">
        <v>145500000</v>
      </c>
      <c r="P10">
        <v>7388</v>
      </c>
      <c r="Q10" s="1">
        <v>609096</v>
      </c>
      <c r="R10" t="str">
        <f t="shared" si="0"/>
        <v>Modern</v>
      </c>
    </row>
    <row r="11" spans="1:18" x14ac:dyDescent="0.2">
      <c r="A11" t="s">
        <v>86</v>
      </c>
      <c r="B11">
        <v>2006</v>
      </c>
      <c r="C11" t="s">
        <v>87</v>
      </c>
      <c r="D11" t="s">
        <v>88</v>
      </c>
      <c r="E11" t="s">
        <v>89</v>
      </c>
      <c r="F11" t="s">
        <v>90</v>
      </c>
      <c r="G11" t="s">
        <v>91</v>
      </c>
      <c r="H11" s="1">
        <v>95000000000</v>
      </c>
      <c r="I11">
        <v>11600</v>
      </c>
      <c r="J11" t="s">
        <v>92</v>
      </c>
      <c r="K11" t="s">
        <v>93</v>
      </c>
      <c r="L11">
        <v>4.4000000000000004</v>
      </c>
      <c r="M11">
        <v>7100000000</v>
      </c>
      <c r="N11">
        <v>95000000000</v>
      </c>
      <c r="O11">
        <v>122300000</v>
      </c>
      <c r="P11">
        <v>11600</v>
      </c>
      <c r="Q11" s="1">
        <v>612069</v>
      </c>
      <c r="R11" t="str">
        <f t="shared" si="0"/>
        <v>Legacy</v>
      </c>
    </row>
    <row r="12" spans="1:18" x14ac:dyDescent="0.2">
      <c r="A12" t="s">
        <v>94</v>
      </c>
      <c r="B12">
        <v>2002</v>
      </c>
      <c r="C12" t="s">
        <v>95</v>
      </c>
      <c r="D12" t="s">
        <v>96</v>
      </c>
      <c r="E12" t="s">
        <v>97</v>
      </c>
      <c r="F12" t="s">
        <v>98</v>
      </c>
      <c r="G12" t="s">
        <v>99</v>
      </c>
      <c r="H12" s="1">
        <v>55000000000</v>
      </c>
      <c r="I12">
        <v>11800</v>
      </c>
      <c r="J12" t="s">
        <v>100</v>
      </c>
      <c r="K12" t="s">
        <v>101</v>
      </c>
      <c r="L12">
        <v>4.3</v>
      </c>
      <c r="M12">
        <v>3500000000</v>
      </c>
      <c r="N12">
        <v>55000000000</v>
      </c>
      <c r="O12">
        <v>60000000</v>
      </c>
      <c r="P12">
        <v>11800</v>
      </c>
      <c r="Q12" s="1">
        <v>296610</v>
      </c>
      <c r="R12" t="str">
        <f t="shared" si="0"/>
        <v>Legacy</v>
      </c>
    </row>
    <row r="13" spans="1:18" x14ac:dyDescent="0.2">
      <c r="A13" t="s">
        <v>102</v>
      </c>
      <c r="B13">
        <v>2012</v>
      </c>
      <c r="C13" t="s">
        <v>103</v>
      </c>
      <c r="D13" t="s">
        <v>104</v>
      </c>
      <c r="E13" t="s">
        <v>105</v>
      </c>
      <c r="F13" t="s">
        <v>106</v>
      </c>
      <c r="G13" t="s">
        <v>107</v>
      </c>
      <c r="H13" s="1">
        <v>75000000000</v>
      </c>
      <c r="I13">
        <v>6500</v>
      </c>
      <c r="J13" t="s">
        <v>108</v>
      </c>
      <c r="K13" t="s">
        <v>109</v>
      </c>
      <c r="L13">
        <v>4.4000000000000004</v>
      </c>
      <c r="M13">
        <v>2800000000</v>
      </c>
      <c r="N13">
        <v>75000000000</v>
      </c>
      <c r="O13">
        <v>1400000000</v>
      </c>
      <c r="P13">
        <v>6500</v>
      </c>
      <c r="Q13" s="1">
        <v>430769</v>
      </c>
      <c r="R13" t="str">
        <f t="shared" si="0"/>
        <v>Modern</v>
      </c>
    </row>
    <row r="14" spans="1:18" x14ac:dyDescent="0.2">
      <c r="A14" t="s">
        <v>110</v>
      </c>
      <c r="B14">
        <v>2006</v>
      </c>
      <c r="C14" t="s">
        <v>111</v>
      </c>
      <c r="D14" t="s">
        <v>112</v>
      </c>
      <c r="E14" t="s">
        <v>113</v>
      </c>
      <c r="F14" t="s">
        <v>114</v>
      </c>
      <c r="G14" t="s">
        <v>115</v>
      </c>
      <c r="H14" s="1">
        <v>32000000000</v>
      </c>
      <c r="I14">
        <v>7600</v>
      </c>
      <c r="J14" t="s">
        <v>116</v>
      </c>
      <c r="K14" t="s">
        <v>117</v>
      </c>
      <c r="L14">
        <v>4.4000000000000004</v>
      </c>
      <c r="M14">
        <v>2200000000</v>
      </c>
      <c r="N14">
        <v>32000000000</v>
      </c>
      <c r="O14">
        <v>100500000</v>
      </c>
      <c r="P14">
        <v>7600</v>
      </c>
      <c r="Q14" s="1">
        <v>289474</v>
      </c>
      <c r="R14" t="str">
        <f t="shared" si="0"/>
        <v>Legacy</v>
      </c>
    </row>
    <row r="15" spans="1:18" x14ac:dyDescent="0.2">
      <c r="A15" t="s">
        <v>118</v>
      </c>
      <c r="B15">
        <v>2003</v>
      </c>
      <c r="C15" t="s">
        <v>26</v>
      </c>
      <c r="D15" t="s">
        <v>119</v>
      </c>
      <c r="E15" t="s">
        <v>120</v>
      </c>
      <c r="F15" t="s">
        <v>121</v>
      </c>
      <c r="G15" t="s">
        <v>122</v>
      </c>
      <c r="H15" s="1">
        <v>10000000000</v>
      </c>
      <c r="I15">
        <v>7336</v>
      </c>
      <c r="J15" t="s">
        <v>123</v>
      </c>
      <c r="K15" t="s">
        <v>124</v>
      </c>
      <c r="L15">
        <v>4.5</v>
      </c>
      <c r="M15">
        <v>2500000000</v>
      </c>
      <c r="N15">
        <v>10000000000</v>
      </c>
      <c r="O15">
        <v>514299999.99999899</v>
      </c>
      <c r="P15">
        <v>7336</v>
      </c>
      <c r="Q15" s="1">
        <v>340785</v>
      </c>
      <c r="R15" t="str">
        <f t="shared" si="0"/>
        <v>Legacy</v>
      </c>
    </row>
    <row r="16" spans="1:18" x14ac:dyDescent="0.2">
      <c r="A16" t="s">
        <v>125</v>
      </c>
      <c r="B16">
        <v>2009</v>
      </c>
      <c r="C16" t="s">
        <v>26</v>
      </c>
      <c r="D16" t="s">
        <v>126</v>
      </c>
      <c r="E16" t="s">
        <v>105</v>
      </c>
      <c r="F16" t="s">
        <v>127</v>
      </c>
      <c r="G16" t="s">
        <v>128</v>
      </c>
      <c r="H16" s="1">
        <v>27700000000</v>
      </c>
      <c r="I16">
        <v>2545</v>
      </c>
      <c r="J16" t="s">
        <v>129</v>
      </c>
      <c r="K16" t="s">
        <v>130</v>
      </c>
      <c r="L16">
        <v>4.5</v>
      </c>
      <c r="M16">
        <v>1700000000</v>
      </c>
      <c r="N16">
        <v>27700000000</v>
      </c>
      <c r="O16">
        <v>1400000000</v>
      </c>
      <c r="P16">
        <v>2545</v>
      </c>
      <c r="Q16" s="1">
        <v>667976</v>
      </c>
      <c r="R16" t="str">
        <f t="shared" si="0"/>
        <v>Legacy</v>
      </c>
    </row>
    <row r="17" spans="1:18" x14ac:dyDescent="0.2">
      <c r="A17" t="s">
        <v>131</v>
      </c>
      <c r="B17">
        <v>2013</v>
      </c>
      <c r="C17" t="s">
        <v>26</v>
      </c>
      <c r="D17" t="s">
        <v>132</v>
      </c>
      <c r="E17" t="s">
        <v>133</v>
      </c>
      <c r="F17" t="s">
        <v>134</v>
      </c>
      <c r="G17" t="s">
        <v>122</v>
      </c>
      <c r="H17" s="1">
        <v>10000000000</v>
      </c>
      <c r="I17">
        <v>800</v>
      </c>
      <c r="J17" t="s">
        <v>135</v>
      </c>
      <c r="K17" t="s">
        <v>136</v>
      </c>
      <c r="L17">
        <v>4.7</v>
      </c>
      <c r="M17">
        <v>400000000</v>
      </c>
      <c r="N17">
        <v>10000000000</v>
      </c>
      <c r="O17">
        <v>353000000</v>
      </c>
      <c r="P17">
        <v>800</v>
      </c>
      <c r="Q17" s="1">
        <v>500000</v>
      </c>
      <c r="R17" t="str">
        <f t="shared" si="0"/>
        <v>Modern</v>
      </c>
    </row>
    <row r="18" spans="1:18" x14ac:dyDescent="0.2">
      <c r="A18" t="s">
        <v>137</v>
      </c>
      <c r="B18">
        <v>2010</v>
      </c>
      <c r="C18" t="s">
        <v>138</v>
      </c>
      <c r="D18" t="s">
        <v>139</v>
      </c>
      <c r="E18" t="s">
        <v>140</v>
      </c>
      <c r="F18" t="s">
        <v>141</v>
      </c>
      <c r="G18" t="s">
        <v>142</v>
      </c>
      <c r="H18" s="1">
        <v>44000000000</v>
      </c>
      <c r="I18">
        <v>5200</v>
      </c>
      <c r="J18" t="s">
        <v>143</v>
      </c>
      <c r="K18" t="s">
        <v>144</v>
      </c>
      <c r="L18">
        <v>4.4000000000000004</v>
      </c>
      <c r="M18">
        <v>2100000000</v>
      </c>
      <c r="N18">
        <v>44000000000</v>
      </c>
      <c r="O18">
        <v>147900000</v>
      </c>
      <c r="P18">
        <v>5200</v>
      </c>
      <c r="Q18" s="1">
        <v>403846</v>
      </c>
      <c r="R18" t="str">
        <f t="shared" si="0"/>
        <v>Modern</v>
      </c>
    </row>
    <row r="19" spans="1:18" x14ac:dyDescent="0.2">
      <c r="A19" t="s">
        <v>145</v>
      </c>
      <c r="B19">
        <v>2007</v>
      </c>
      <c r="C19" t="s">
        <v>138</v>
      </c>
      <c r="D19" t="s">
        <v>146</v>
      </c>
      <c r="E19" t="s">
        <v>147</v>
      </c>
      <c r="F19" t="s">
        <v>127</v>
      </c>
      <c r="G19" t="s">
        <v>148</v>
      </c>
      <c r="H19" s="1">
        <v>26000000000</v>
      </c>
      <c r="I19">
        <v>4500</v>
      </c>
      <c r="J19" t="s">
        <v>149</v>
      </c>
      <c r="K19" t="s">
        <v>150</v>
      </c>
      <c r="L19">
        <v>4.5</v>
      </c>
      <c r="M19">
        <v>1700000000</v>
      </c>
      <c r="N19">
        <v>26000000000</v>
      </c>
      <c r="O19">
        <v>311200000</v>
      </c>
      <c r="P19">
        <v>4500</v>
      </c>
      <c r="Q19" s="1">
        <v>377778</v>
      </c>
      <c r="R19" t="str">
        <f t="shared" si="0"/>
        <v>Legacy</v>
      </c>
    </row>
    <row r="20" spans="1:18" x14ac:dyDescent="0.2">
      <c r="A20" t="s">
        <v>151</v>
      </c>
      <c r="B20">
        <v>2009</v>
      </c>
      <c r="C20" t="s">
        <v>26</v>
      </c>
      <c r="D20" t="s">
        <v>152</v>
      </c>
      <c r="E20" t="s">
        <v>153</v>
      </c>
      <c r="F20" t="s">
        <v>114</v>
      </c>
      <c r="G20" t="s">
        <v>154</v>
      </c>
      <c r="H20" s="1">
        <v>25000000000</v>
      </c>
      <c r="I20">
        <v>5900</v>
      </c>
      <c r="J20" t="s">
        <v>155</v>
      </c>
      <c r="K20" t="s">
        <v>156</v>
      </c>
      <c r="L20">
        <v>4.4000000000000004</v>
      </c>
      <c r="M20">
        <v>2200000000</v>
      </c>
      <c r="N20">
        <v>25000000000</v>
      </c>
      <c r="O20">
        <v>230500000</v>
      </c>
      <c r="P20">
        <v>5900</v>
      </c>
      <c r="Q20" s="1">
        <v>372881</v>
      </c>
      <c r="R20" t="str">
        <f t="shared" si="0"/>
        <v>Legacy</v>
      </c>
    </row>
    <row r="21" spans="1:18" x14ac:dyDescent="0.2">
      <c r="A21" t="s">
        <v>157</v>
      </c>
      <c r="B21">
        <v>2008</v>
      </c>
      <c r="C21" t="s">
        <v>26</v>
      </c>
      <c r="D21" t="s">
        <v>158</v>
      </c>
      <c r="E21" t="s">
        <v>159</v>
      </c>
      <c r="F21" t="s">
        <v>160</v>
      </c>
      <c r="G21" t="s">
        <v>161</v>
      </c>
      <c r="H21" s="1">
        <v>12000000000</v>
      </c>
      <c r="I21">
        <v>7867</v>
      </c>
      <c r="J21" t="s">
        <v>162</v>
      </c>
      <c r="K21" t="s">
        <v>163</v>
      </c>
      <c r="L21">
        <v>4.3</v>
      </c>
      <c r="M21">
        <v>4099999999.99999</v>
      </c>
      <c r="N21">
        <v>12000000000</v>
      </c>
      <c r="O21">
        <v>261300000</v>
      </c>
      <c r="P21">
        <v>7867</v>
      </c>
      <c r="Q21" s="1">
        <v>521164</v>
      </c>
      <c r="R21" t="str">
        <f t="shared" si="0"/>
        <v>Legacy</v>
      </c>
    </row>
    <row r="22" spans="1:18" x14ac:dyDescent="0.2">
      <c r="A22" t="s">
        <v>164</v>
      </c>
      <c r="B22">
        <v>2010</v>
      </c>
      <c r="C22" t="s">
        <v>26</v>
      </c>
      <c r="D22" t="s">
        <v>165</v>
      </c>
      <c r="E22" t="s">
        <v>166</v>
      </c>
      <c r="F22" t="s">
        <v>167</v>
      </c>
      <c r="G22" t="s">
        <v>76</v>
      </c>
      <c r="H22" s="1">
        <v>65000000000</v>
      </c>
      <c r="I22">
        <v>8000</v>
      </c>
      <c r="J22" t="s">
        <v>168</v>
      </c>
      <c r="K22" t="s">
        <v>169</v>
      </c>
      <c r="L22">
        <v>4.4000000000000004</v>
      </c>
      <c r="M22">
        <v>14000000000</v>
      </c>
      <c r="N22">
        <v>65000000000</v>
      </c>
      <c r="O22">
        <v>8700000000</v>
      </c>
      <c r="P22">
        <v>8000</v>
      </c>
      <c r="Q22" s="1">
        <v>1750000</v>
      </c>
      <c r="R22" t="str">
        <f t="shared" si="0"/>
        <v>Modern</v>
      </c>
    </row>
    <row r="23" spans="1:18" x14ac:dyDescent="0.2">
      <c r="A23" t="s">
        <v>170</v>
      </c>
      <c r="B23">
        <v>2009</v>
      </c>
      <c r="C23" t="s">
        <v>26</v>
      </c>
      <c r="D23" t="s">
        <v>165</v>
      </c>
      <c r="E23" t="s">
        <v>171</v>
      </c>
      <c r="F23" t="s">
        <v>172</v>
      </c>
      <c r="G23" t="s">
        <v>83</v>
      </c>
      <c r="H23" s="1">
        <v>85000000000</v>
      </c>
      <c r="I23">
        <v>8500</v>
      </c>
      <c r="J23" t="s">
        <v>173</v>
      </c>
      <c r="K23" t="s">
        <v>174</v>
      </c>
      <c r="L23">
        <v>4.2</v>
      </c>
      <c r="M23">
        <v>19700000000</v>
      </c>
      <c r="N23">
        <v>85000000000</v>
      </c>
      <c r="O23">
        <v>590500000</v>
      </c>
      <c r="P23">
        <v>8500</v>
      </c>
      <c r="Q23" s="1">
        <v>2317647</v>
      </c>
      <c r="R23" t="str">
        <f t="shared" si="0"/>
        <v>Legacy</v>
      </c>
    </row>
    <row r="24" spans="1:18" x14ac:dyDescent="0.2">
      <c r="A24" t="s">
        <v>175</v>
      </c>
      <c r="B24">
        <v>2003</v>
      </c>
      <c r="C24" t="s">
        <v>176</v>
      </c>
      <c r="D24" t="s">
        <v>177</v>
      </c>
      <c r="E24" t="s">
        <v>178</v>
      </c>
      <c r="F24" t="s">
        <v>114</v>
      </c>
      <c r="G24" t="s">
        <v>179</v>
      </c>
      <c r="H24" s="1">
        <v>52000000000</v>
      </c>
      <c r="I24">
        <v>3500</v>
      </c>
      <c r="J24" t="s">
        <v>180</v>
      </c>
      <c r="K24" t="s">
        <v>181</v>
      </c>
      <c r="L24">
        <v>4</v>
      </c>
      <c r="M24">
        <v>2200000000</v>
      </c>
      <c r="N24">
        <v>52000000000</v>
      </c>
      <c r="O24">
        <v>2600000000</v>
      </c>
      <c r="P24">
        <v>3500</v>
      </c>
      <c r="Q24" s="1">
        <v>628571</v>
      </c>
      <c r="R24" t="str">
        <f t="shared" si="0"/>
        <v>Legacy</v>
      </c>
    </row>
    <row r="25" spans="1:18" x14ac:dyDescent="0.2">
      <c r="A25" t="s">
        <v>182</v>
      </c>
      <c r="B25">
        <v>2013</v>
      </c>
      <c r="C25" t="s">
        <v>95</v>
      </c>
      <c r="D25" t="s">
        <v>183</v>
      </c>
      <c r="E25" t="s">
        <v>184</v>
      </c>
      <c r="F25" t="s">
        <v>185</v>
      </c>
      <c r="G25" t="s">
        <v>186</v>
      </c>
      <c r="H25" s="1">
        <v>40000000000</v>
      </c>
      <c r="I25">
        <v>3500</v>
      </c>
      <c r="J25" t="s">
        <v>187</v>
      </c>
      <c r="K25" t="s">
        <v>188</v>
      </c>
      <c r="L25">
        <v>4.7</v>
      </c>
      <c r="M25">
        <v>2000000000</v>
      </c>
      <c r="N25">
        <v>40000000000</v>
      </c>
      <c r="O25">
        <v>572600000</v>
      </c>
      <c r="P25">
        <v>3500</v>
      </c>
      <c r="Q25" s="1">
        <v>571429</v>
      </c>
      <c r="R25" t="str">
        <f t="shared" si="0"/>
        <v>Modern</v>
      </c>
    </row>
    <row r="26" spans="1:18" x14ac:dyDescent="0.2">
      <c r="A26" t="s">
        <v>189</v>
      </c>
      <c r="B26">
        <v>2012</v>
      </c>
      <c r="C26" t="s">
        <v>190</v>
      </c>
      <c r="D26" t="s">
        <v>191</v>
      </c>
      <c r="E26" t="s">
        <v>192</v>
      </c>
      <c r="F26" t="s">
        <v>193</v>
      </c>
      <c r="G26" t="s">
        <v>167</v>
      </c>
      <c r="H26" s="1">
        <v>14000000000</v>
      </c>
      <c r="I26">
        <v>1900</v>
      </c>
      <c r="J26" t="s">
        <v>194</v>
      </c>
      <c r="K26" t="s">
        <v>195</v>
      </c>
      <c r="L26">
        <v>4.5999999999999996</v>
      </c>
      <c r="M26">
        <v>736000000</v>
      </c>
      <c r="N26">
        <v>14000000000</v>
      </c>
      <c r="O26">
        <v>234100000</v>
      </c>
      <c r="P26">
        <v>1900</v>
      </c>
      <c r="Q26" s="1">
        <v>387368</v>
      </c>
      <c r="R26" t="str">
        <f t="shared" si="0"/>
        <v>Modern</v>
      </c>
    </row>
    <row r="27" spans="1:18" x14ac:dyDescent="0.2">
      <c r="A27" t="s">
        <v>196</v>
      </c>
      <c r="B27">
        <v>2008</v>
      </c>
      <c r="C27" t="s">
        <v>26</v>
      </c>
      <c r="D27" t="s">
        <v>191</v>
      </c>
      <c r="E27" t="s">
        <v>197</v>
      </c>
      <c r="F27" t="s">
        <v>198</v>
      </c>
      <c r="G27" t="s">
        <v>199</v>
      </c>
      <c r="H27" s="1">
        <v>5500000000</v>
      </c>
      <c r="I27">
        <v>1600</v>
      </c>
      <c r="J27" t="s">
        <v>200</v>
      </c>
      <c r="K27" t="s">
        <v>201</v>
      </c>
      <c r="L27">
        <v>4.3</v>
      </c>
      <c r="M27">
        <v>652000000</v>
      </c>
      <c r="N27">
        <v>5500000000</v>
      </c>
      <c r="O27">
        <v>453200000</v>
      </c>
      <c r="P27">
        <v>1600</v>
      </c>
      <c r="Q27" s="1">
        <v>407500</v>
      </c>
      <c r="R27" t="str">
        <f t="shared" si="0"/>
        <v>Legacy</v>
      </c>
    </row>
    <row r="28" spans="1:18" x14ac:dyDescent="0.2">
      <c r="A28" t="s">
        <v>202</v>
      </c>
      <c r="B28">
        <v>2012</v>
      </c>
      <c r="C28" t="s">
        <v>26</v>
      </c>
      <c r="D28" t="s">
        <v>203</v>
      </c>
      <c r="E28" t="s">
        <v>204</v>
      </c>
      <c r="F28" t="s">
        <v>205</v>
      </c>
      <c r="G28" t="s">
        <v>206</v>
      </c>
      <c r="H28" s="1">
        <v>11000000000</v>
      </c>
      <c r="I28">
        <v>900</v>
      </c>
      <c r="J28" t="s">
        <v>207</v>
      </c>
      <c r="K28" t="s">
        <v>208</v>
      </c>
      <c r="L28">
        <v>4.5999999999999996</v>
      </c>
      <c r="M28">
        <v>500000000</v>
      </c>
      <c r="N28">
        <v>11000000000</v>
      </c>
      <c r="O28">
        <v>735100000</v>
      </c>
      <c r="P28">
        <v>900</v>
      </c>
      <c r="Q28" s="1">
        <v>555556</v>
      </c>
      <c r="R28" t="str">
        <f t="shared" si="0"/>
        <v>Modern</v>
      </c>
    </row>
    <row r="29" spans="1:18" x14ac:dyDescent="0.2">
      <c r="A29" t="s">
        <v>209</v>
      </c>
      <c r="B29">
        <v>2012</v>
      </c>
      <c r="C29" t="s">
        <v>26</v>
      </c>
      <c r="D29" t="s">
        <v>183</v>
      </c>
      <c r="E29" t="s">
        <v>210</v>
      </c>
      <c r="F29" t="s">
        <v>211</v>
      </c>
      <c r="G29" t="s">
        <v>212</v>
      </c>
      <c r="H29" s="1">
        <v>20000000000</v>
      </c>
      <c r="I29">
        <v>1300</v>
      </c>
      <c r="J29" t="s">
        <v>213</v>
      </c>
      <c r="K29" t="s">
        <v>214</v>
      </c>
      <c r="L29">
        <v>4.7</v>
      </c>
      <c r="M29">
        <v>600000000</v>
      </c>
      <c r="N29">
        <v>20000000000</v>
      </c>
      <c r="O29">
        <v>332900000</v>
      </c>
      <c r="P29">
        <v>1300</v>
      </c>
      <c r="Q29" s="1">
        <v>461538</v>
      </c>
      <c r="R29" t="str">
        <f t="shared" si="0"/>
        <v>Modern</v>
      </c>
    </row>
    <row r="30" spans="1:18" x14ac:dyDescent="0.2">
      <c r="A30" t="s">
        <v>215</v>
      </c>
      <c r="B30">
        <v>2011</v>
      </c>
      <c r="C30" t="s">
        <v>26</v>
      </c>
      <c r="D30" t="s">
        <v>216</v>
      </c>
      <c r="E30" t="s">
        <v>217</v>
      </c>
      <c r="F30" t="s">
        <v>218</v>
      </c>
      <c r="G30" t="s">
        <v>219</v>
      </c>
      <c r="H30" s="1">
        <v>8000000000</v>
      </c>
      <c r="I30">
        <v>2300</v>
      </c>
      <c r="J30" t="s">
        <v>220</v>
      </c>
      <c r="K30" t="s">
        <v>221</v>
      </c>
      <c r="L30">
        <v>4.5</v>
      </c>
      <c r="M30">
        <v>580000000</v>
      </c>
      <c r="N30">
        <v>8000000000</v>
      </c>
      <c r="O30">
        <v>435600000</v>
      </c>
      <c r="P30">
        <v>2300</v>
      </c>
      <c r="Q30" s="1">
        <v>252174</v>
      </c>
      <c r="R30" t="str">
        <f t="shared" si="0"/>
        <v>Modern</v>
      </c>
    </row>
    <row r="31" spans="1:18" x14ac:dyDescent="0.2">
      <c r="A31" t="s">
        <v>222</v>
      </c>
      <c r="B31">
        <v>2007</v>
      </c>
      <c r="C31" t="s">
        <v>26</v>
      </c>
      <c r="D31" t="s">
        <v>223</v>
      </c>
      <c r="E31" t="s">
        <v>224</v>
      </c>
      <c r="F31" t="s">
        <v>225</v>
      </c>
      <c r="G31" t="s">
        <v>226</v>
      </c>
      <c r="H31" s="1">
        <v>13200000000</v>
      </c>
      <c r="I31">
        <v>6000</v>
      </c>
      <c r="J31" t="s">
        <v>227</v>
      </c>
      <c r="K31" t="s">
        <v>228</v>
      </c>
      <c r="L31">
        <v>4.3</v>
      </c>
      <c r="M31">
        <v>1900000000</v>
      </c>
      <c r="N31">
        <v>13200000000</v>
      </c>
      <c r="O31">
        <v>85500000</v>
      </c>
      <c r="P31">
        <v>6000</v>
      </c>
      <c r="Q31" s="1">
        <v>316667</v>
      </c>
      <c r="R31" t="str">
        <f t="shared" si="0"/>
        <v>Legacy</v>
      </c>
    </row>
    <row r="32" spans="1:18" x14ac:dyDescent="0.2">
      <c r="A32" t="s">
        <v>229</v>
      </c>
      <c r="B32">
        <v>2005</v>
      </c>
      <c r="C32" t="s">
        <v>230</v>
      </c>
      <c r="D32" t="s">
        <v>231</v>
      </c>
      <c r="E32" t="s">
        <v>232</v>
      </c>
      <c r="F32" t="s">
        <v>20</v>
      </c>
      <c r="G32" t="s">
        <v>98</v>
      </c>
      <c r="H32" s="1">
        <v>3500000000</v>
      </c>
      <c r="I32">
        <v>2800</v>
      </c>
      <c r="J32" t="s">
        <v>233</v>
      </c>
      <c r="K32" t="s">
        <v>234</v>
      </c>
      <c r="L32">
        <v>4.2</v>
      </c>
      <c r="M32">
        <v>1000000000</v>
      </c>
      <c r="N32">
        <v>3500000000</v>
      </c>
      <c r="O32">
        <v>562400000</v>
      </c>
      <c r="P32">
        <v>2800</v>
      </c>
      <c r="Q32" s="1">
        <v>357143</v>
      </c>
      <c r="R32" t="str">
        <f t="shared" si="0"/>
        <v>Legacy</v>
      </c>
    </row>
    <row r="33" spans="1:18" x14ac:dyDescent="0.2">
      <c r="A33" t="s">
        <v>235</v>
      </c>
      <c r="B33">
        <v>2008</v>
      </c>
      <c r="C33" t="s">
        <v>26</v>
      </c>
      <c r="D33" t="s">
        <v>231</v>
      </c>
      <c r="E33" t="s">
        <v>127</v>
      </c>
      <c r="F33" t="s">
        <v>121</v>
      </c>
      <c r="G33" t="s">
        <v>236</v>
      </c>
      <c r="H33" s="1">
        <v>8500000000</v>
      </c>
      <c r="I33">
        <v>2700</v>
      </c>
      <c r="J33" t="s">
        <v>237</v>
      </c>
      <c r="K33" t="s">
        <v>238</v>
      </c>
      <c r="L33">
        <v>4.4000000000000004</v>
      </c>
      <c r="M33">
        <v>2500000000</v>
      </c>
      <c r="N33">
        <v>8500000000</v>
      </c>
      <c r="O33">
        <v>1700000000</v>
      </c>
      <c r="P33">
        <v>2700</v>
      </c>
      <c r="Q33" s="1">
        <v>925926</v>
      </c>
      <c r="R33" t="str">
        <f t="shared" si="0"/>
        <v>Legacy</v>
      </c>
    </row>
    <row r="34" spans="1:18" x14ac:dyDescent="0.2">
      <c r="A34" t="s">
        <v>239</v>
      </c>
      <c r="B34">
        <v>2010</v>
      </c>
      <c r="C34" t="s">
        <v>240</v>
      </c>
      <c r="D34" t="s">
        <v>241</v>
      </c>
      <c r="E34" t="s">
        <v>242</v>
      </c>
      <c r="F34" t="s">
        <v>243</v>
      </c>
      <c r="G34" t="s">
        <v>244</v>
      </c>
      <c r="H34" s="1">
        <v>5200000000</v>
      </c>
      <c r="I34">
        <v>5000</v>
      </c>
      <c r="J34" t="s">
        <v>245</v>
      </c>
      <c r="K34" t="s">
        <v>246</v>
      </c>
      <c r="L34">
        <v>4.4000000000000004</v>
      </c>
      <c r="M34">
        <v>596000000</v>
      </c>
      <c r="N34">
        <v>5200000000</v>
      </c>
      <c r="O34">
        <v>484700000</v>
      </c>
      <c r="P34">
        <v>5000</v>
      </c>
      <c r="Q34" s="1">
        <v>119200</v>
      </c>
      <c r="R34" t="str">
        <f t="shared" ref="R34:R65" si="1">IF(B34&lt;2010, "Legacy","Modern")</f>
        <v>Modern</v>
      </c>
    </row>
    <row r="35" spans="1:18" x14ac:dyDescent="0.2">
      <c r="A35" t="s">
        <v>247</v>
      </c>
      <c r="B35">
        <v>2012</v>
      </c>
      <c r="C35" t="s">
        <v>248</v>
      </c>
      <c r="D35" t="s">
        <v>249</v>
      </c>
      <c r="E35" t="s">
        <v>250</v>
      </c>
      <c r="F35" t="s">
        <v>251</v>
      </c>
      <c r="G35" t="s">
        <v>252</v>
      </c>
      <c r="H35" s="1">
        <v>9500000000</v>
      </c>
      <c r="I35">
        <v>1500</v>
      </c>
      <c r="J35" t="s">
        <v>253</v>
      </c>
      <c r="K35" t="s">
        <v>254</v>
      </c>
      <c r="L35">
        <v>4.5999999999999996</v>
      </c>
      <c r="M35">
        <v>698000000</v>
      </c>
      <c r="N35">
        <v>9500000000</v>
      </c>
      <c r="O35">
        <v>778200000</v>
      </c>
      <c r="P35">
        <v>1500</v>
      </c>
      <c r="Q35" s="1">
        <v>465333</v>
      </c>
      <c r="R35" t="str">
        <f t="shared" si="1"/>
        <v>Modern</v>
      </c>
    </row>
    <row r="36" spans="1:18" x14ac:dyDescent="0.2">
      <c r="A36" t="s">
        <v>255</v>
      </c>
      <c r="B36">
        <v>2005</v>
      </c>
      <c r="C36" t="s">
        <v>138</v>
      </c>
      <c r="D36" t="s">
        <v>256</v>
      </c>
      <c r="E36" t="s">
        <v>185</v>
      </c>
      <c r="F36" t="s">
        <v>257</v>
      </c>
      <c r="G36" t="s">
        <v>258</v>
      </c>
      <c r="H36" s="1">
        <v>7000000000</v>
      </c>
      <c r="I36">
        <v>4013</v>
      </c>
      <c r="J36" t="s">
        <v>259</v>
      </c>
      <c r="K36" t="s">
        <v>260</v>
      </c>
      <c r="L36">
        <v>4.5</v>
      </c>
      <c r="M36">
        <v>1300000000</v>
      </c>
      <c r="N36">
        <v>7000000000</v>
      </c>
      <c r="O36">
        <v>2000000000</v>
      </c>
      <c r="P36">
        <v>4013</v>
      </c>
      <c r="Q36" s="1">
        <v>323947</v>
      </c>
      <c r="R36" t="str">
        <f t="shared" si="1"/>
        <v>Legacy</v>
      </c>
    </row>
    <row r="37" spans="1:18" x14ac:dyDescent="0.2">
      <c r="A37" t="s">
        <v>261</v>
      </c>
      <c r="B37">
        <v>2013</v>
      </c>
      <c r="C37" t="s">
        <v>26</v>
      </c>
      <c r="D37" t="s">
        <v>262</v>
      </c>
      <c r="E37" t="s">
        <v>98</v>
      </c>
      <c r="F37" t="s">
        <v>263</v>
      </c>
      <c r="G37" t="s">
        <v>264</v>
      </c>
      <c r="H37" s="1">
        <v>43000000000</v>
      </c>
      <c r="I37">
        <v>5000</v>
      </c>
      <c r="J37" t="s">
        <v>265</v>
      </c>
      <c r="K37" t="s">
        <v>266</v>
      </c>
      <c r="L37">
        <v>4.5</v>
      </c>
      <c r="M37">
        <v>1600000000</v>
      </c>
      <c r="N37">
        <v>43000000000</v>
      </c>
      <c r="O37">
        <v>3500000000</v>
      </c>
      <c r="P37">
        <v>5000</v>
      </c>
      <c r="Q37" s="1">
        <v>320000</v>
      </c>
      <c r="R37" t="str">
        <f t="shared" si="1"/>
        <v>Modern</v>
      </c>
    </row>
    <row r="38" spans="1:18" x14ac:dyDescent="0.2">
      <c r="A38" t="s">
        <v>267</v>
      </c>
      <c r="B38">
        <v>2014</v>
      </c>
      <c r="C38" t="s">
        <v>56</v>
      </c>
      <c r="D38" t="s">
        <v>268</v>
      </c>
      <c r="E38" t="s">
        <v>269</v>
      </c>
      <c r="F38" t="s">
        <v>270</v>
      </c>
      <c r="G38" t="s">
        <v>271</v>
      </c>
      <c r="H38" s="1">
        <v>9100000000</v>
      </c>
      <c r="I38">
        <v>2500</v>
      </c>
      <c r="J38" t="s">
        <v>272</v>
      </c>
      <c r="K38" t="s">
        <v>273</v>
      </c>
      <c r="L38">
        <v>4.4000000000000004</v>
      </c>
      <c r="M38">
        <v>773000000</v>
      </c>
      <c r="N38">
        <v>9100000000</v>
      </c>
      <c r="O38">
        <v>455900000</v>
      </c>
      <c r="P38">
        <v>2500</v>
      </c>
      <c r="Q38" s="1">
        <v>309200</v>
      </c>
      <c r="R38" t="str">
        <f t="shared" si="1"/>
        <v>Modern</v>
      </c>
    </row>
    <row r="39" spans="1:18" x14ac:dyDescent="0.2">
      <c r="A39" t="s">
        <v>274</v>
      </c>
      <c r="B39">
        <v>2012</v>
      </c>
      <c r="C39" t="s">
        <v>26</v>
      </c>
      <c r="D39" t="s">
        <v>275</v>
      </c>
      <c r="E39" t="s">
        <v>276</v>
      </c>
      <c r="F39" t="s">
        <v>277</v>
      </c>
      <c r="G39" t="s">
        <v>278</v>
      </c>
      <c r="H39" s="1">
        <v>13000000000</v>
      </c>
      <c r="I39">
        <v>2200</v>
      </c>
      <c r="J39" t="s">
        <v>279</v>
      </c>
      <c r="K39" t="s">
        <v>280</v>
      </c>
      <c r="L39">
        <v>4.5999999999999996</v>
      </c>
      <c r="M39">
        <v>541000000</v>
      </c>
      <c r="N39">
        <v>13000000000</v>
      </c>
      <c r="O39">
        <v>349500000</v>
      </c>
      <c r="P39">
        <v>2200</v>
      </c>
      <c r="Q39" s="1">
        <v>245909</v>
      </c>
      <c r="R39" t="str">
        <f t="shared" si="1"/>
        <v>Modern</v>
      </c>
    </row>
    <row r="40" spans="1:18" x14ac:dyDescent="0.2">
      <c r="A40" t="s">
        <v>281</v>
      </c>
      <c r="B40">
        <v>2012</v>
      </c>
      <c r="C40" t="s">
        <v>56</v>
      </c>
      <c r="D40" t="s">
        <v>282</v>
      </c>
      <c r="E40" t="s">
        <v>283</v>
      </c>
      <c r="F40" t="s">
        <v>284</v>
      </c>
      <c r="G40" t="s">
        <v>219</v>
      </c>
      <c r="H40" s="1">
        <v>8000000000</v>
      </c>
      <c r="I40">
        <v>3000</v>
      </c>
      <c r="J40" t="s">
        <v>285</v>
      </c>
      <c r="K40" t="s">
        <v>286</v>
      </c>
      <c r="L40">
        <v>4.4000000000000004</v>
      </c>
      <c r="M40">
        <v>1100000000</v>
      </c>
      <c r="N40">
        <v>8000000000</v>
      </c>
      <c r="O40">
        <v>162000000</v>
      </c>
      <c r="P40">
        <v>3000</v>
      </c>
      <c r="Q40" s="1">
        <v>366667</v>
      </c>
      <c r="R40" t="str">
        <f t="shared" si="1"/>
        <v>Modern</v>
      </c>
    </row>
    <row r="41" spans="1:18" x14ac:dyDescent="0.2">
      <c r="A41" t="s">
        <v>287</v>
      </c>
      <c r="B41">
        <v>2009</v>
      </c>
      <c r="C41" t="s">
        <v>26</v>
      </c>
      <c r="D41" t="s">
        <v>288</v>
      </c>
      <c r="E41" t="s">
        <v>289</v>
      </c>
      <c r="F41" t="s">
        <v>290</v>
      </c>
      <c r="G41" t="s">
        <v>106</v>
      </c>
      <c r="H41" s="1">
        <v>2800000000</v>
      </c>
      <c r="I41">
        <v>1000</v>
      </c>
      <c r="J41" t="s">
        <v>291</v>
      </c>
      <c r="K41" t="s">
        <v>292</v>
      </c>
      <c r="L41">
        <v>4.3</v>
      </c>
      <c r="M41">
        <v>430000000</v>
      </c>
      <c r="N41">
        <v>2800000000</v>
      </c>
      <c r="O41">
        <v>173700000</v>
      </c>
      <c r="P41">
        <v>1000</v>
      </c>
      <c r="Q41" s="1">
        <v>430000</v>
      </c>
      <c r="R41" t="str">
        <f t="shared" si="1"/>
        <v>Legacy</v>
      </c>
    </row>
    <row r="42" spans="1:18" x14ac:dyDescent="0.2">
      <c r="A42" t="s">
        <v>293</v>
      </c>
      <c r="B42">
        <v>2008</v>
      </c>
      <c r="C42" t="s">
        <v>26</v>
      </c>
      <c r="D42" t="s">
        <v>294</v>
      </c>
      <c r="E42" t="s">
        <v>295</v>
      </c>
      <c r="F42" t="s">
        <v>296</v>
      </c>
      <c r="G42" t="s">
        <v>297</v>
      </c>
      <c r="H42" s="1">
        <v>6500000000</v>
      </c>
      <c r="I42">
        <v>2300</v>
      </c>
      <c r="J42" t="s">
        <v>298</v>
      </c>
      <c r="K42" t="s">
        <v>299</v>
      </c>
      <c r="L42">
        <v>4.3</v>
      </c>
      <c r="M42">
        <v>785000000</v>
      </c>
      <c r="N42">
        <v>6500000000</v>
      </c>
      <c r="O42">
        <v>215000000</v>
      </c>
      <c r="P42">
        <v>2300</v>
      </c>
      <c r="Q42" s="1">
        <v>341304</v>
      </c>
      <c r="R42" t="str">
        <f t="shared" si="1"/>
        <v>Legacy</v>
      </c>
    </row>
    <row r="43" spans="1:18" x14ac:dyDescent="0.2">
      <c r="A43" t="s">
        <v>300</v>
      </c>
      <c r="B43">
        <v>2003</v>
      </c>
      <c r="C43" t="s">
        <v>26</v>
      </c>
      <c r="D43" t="s">
        <v>177</v>
      </c>
      <c r="E43" t="s">
        <v>301</v>
      </c>
      <c r="F43" t="s">
        <v>302</v>
      </c>
      <c r="G43" t="s">
        <v>303</v>
      </c>
      <c r="H43" s="1">
        <v>28000000000</v>
      </c>
      <c r="I43">
        <v>8000</v>
      </c>
      <c r="J43" t="s">
        <v>304</v>
      </c>
      <c r="K43" t="s">
        <v>305</v>
      </c>
      <c r="L43">
        <v>4.4000000000000004</v>
      </c>
      <c r="M43">
        <v>3700000000</v>
      </c>
      <c r="N43">
        <v>28000000000</v>
      </c>
      <c r="O43">
        <v>40000000</v>
      </c>
      <c r="P43">
        <v>8000</v>
      </c>
      <c r="Q43" s="1">
        <v>462500</v>
      </c>
      <c r="R43" t="str">
        <f t="shared" si="1"/>
        <v>Legacy</v>
      </c>
    </row>
    <row r="44" spans="1:18" x14ac:dyDescent="0.2">
      <c r="A44" t="s">
        <v>306</v>
      </c>
      <c r="B44">
        <v>2009</v>
      </c>
      <c r="C44" t="s">
        <v>26</v>
      </c>
      <c r="D44" t="s">
        <v>307</v>
      </c>
      <c r="E44" t="s">
        <v>308</v>
      </c>
      <c r="F44" t="s">
        <v>263</v>
      </c>
      <c r="G44" t="s">
        <v>309</v>
      </c>
      <c r="H44" s="1">
        <v>28000000000</v>
      </c>
      <c r="I44">
        <v>3266</v>
      </c>
      <c r="J44" t="s">
        <v>310</v>
      </c>
      <c r="K44" t="s">
        <v>311</v>
      </c>
      <c r="L44">
        <v>4.7</v>
      </c>
      <c r="M44">
        <v>1600000000</v>
      </c>
      <c r="N44">
        <v>28000000000</v>
      </c>
      <c r="O44">
        <v>332100000</v>
      </c>
      <c r="P44">
        <v>3266</v>
      </c>
      <c r="Q44" s="1">
        <v>489896</v>
      </c>
      <c r="R44" t="str">
        <f t="shared" si="1"/>
        <v>Legacy</v>
      </c>
    </row>
    <row r="45" spans="1:18" x14ac:dyDescent="0.2">
      <c r="A45" t="s">
        <v>312</v>
      </c>
      <c r="B45">
        <v>2009</v>
      </c>
      <c r="C45" t="s">
        <v>176</v>
      </c>
      <c r="D45" t="s">
        <v>313</v>
      </c>
      <c r="E45" t="s">
        <v>314</v>
      </c>
      <c r="F45" t="s">
        <v>315</v>
      </c>
      <c r="G45" t="s">
        <v>316</v>
      </c>
      <c r="H45" s="1">
        <v>3000000000</v>
      </c>
      <c r="I45">
        <v>600</v>
      </c>
      <c r="J45" t="s">
        <v>317</v>
      </c>
      <c r="K45" t="s">
        <v>318</v>
      </c>
      <c r="L45">
        <v>4</v>
      </c>
      <c r="M45">
        <v>200000000</v>
      </c>
      <c r="N45">
        <v>3000000000</v>
      </c>
      <c r="O45">
        <v>81000000</v>
      </c>
      <c r="P45">
        <v>600</v>
      </c>
      <c r="Q45" s="1">
        <v>333333</v>
      </c>
      <c r="R45" t="str">
        <f t="shared" si="1"/>
        <v>Legacy</v>
      </c>
    </row>
    <row r="46" spans="1:18" x14ac:dyDescent="0.2">
      <c r="A46" t="s">
        <v>319</v>
      </c>
      <c r="B46">
        <v>2001</v>
      </c>
      <c r="C46" t="s">
        <v>320</v>
      </c>
      <c r="D46" t="s">
        <v>321</v>
      </c>
      <c r="E46">
        <v>0</v>
      </c>
      <c r="F46" t="s">
        <v>20</v>
      </c>
      <c r="G46" t="s">
        <v>322</v>
      </c>
      <c r="H46" s="1">
        <v>12000000000</v>
      </c>
      <c r="I46">
        <v>1200</v>
      </c>
      <c r="J46" t="s">
        <v>323</v>
      </c>
      <c r="K46" t="s">
        <v>324</v>
      </c>
      <c r="L46">
        <v>4.3</v>
      </c>
      <c r="M46">
        <v>1000000000</v>
      </c>
      <c r="N46">
        <v>12000000000</v>
      </c>
      <c r="O46">
        <v>0</v>
      </c>
      <c r="P46">
        <v>1200</v>
      </c>
      <c r="Q46" s="1">
        <v>833333</v>
      </c>
      <c r="R46" t="str">
        <f t="shared" si="1"/>
        <v>Legacy</v>
      </c>
    </row>
    <row r="47" spans="1:18" x14ac:dyDescent="0.2">
      <c r="A47" t="s">
        <v>325</v>
      </c>
      <c r="B47">
        <v>2011</v>
      </c>
      <c r="C47" t="s">
        <v>26</v>
      </c>
      <c r="D47" t="s">
        <v>326</v>
      </c>
      <c r="E47" t="s">
        <v>327</v>
      </c>
      <c r="F47" t="s">
        <v>134</v>
      </c>
      <c r="G47" t="s">
        <v>328</v>
      </c>
      <c r="H47" s="1">
        <v>17500000000</v>
      </c>
      <c r="I47">
        <v>1800</v>
      </c>
      <c r="J47" t="s">
        <v>329</v>
      </c>
      <c r="K47" t="s">
        <v>330</v>
      </c>
      <c r="L47">
        <v>4.7</v>
      </c>
      <c r="M47">
        <v>400000000</v>
      </c>
      <c r="N47">
        <v>17500000000</v>
      </c>
      <c r="O47">
        <v>476300000</v>
      </c>
      <c r="P47">
        <v>1800</v>
      </c>
      <c r="Q47" s="1">
        <v>222222</v>
      </c>
      <c r="R47" t="str">
        <f t="shared" si="1"/>
        <v>Modern</v>
      </c>
    </row>
    <row r="48" spans="1:18" x14ac:dyDescent="0.2">
      <c r="A48" t="s">
        <v>331</v>
      </c>
      <c r="B48">
        <v>2009</v>
      </c>
      <c r="C48" t="s">
        <v>26</v>
      </c>
      <c r="D48" t="s">
        <v>332</v>
      </c>
      <c r="E48" t="s">
        <v>134</v>
      </c>
      <c r="F48" t="s">
        <v>333</v>
      </c>
      <c r="G48" t="s">
        <v>278</v>
      </c>
      <c r="H48" s="1">
        <v>13000000000</v>
      </c>
      <c r="I48">
        <v>600</v>
      </c>
      <c r="J48" t="s">
        <v>334</v>
      </c>
      <c r="K48" t="s">
        <v>335</v>
      </c>
      <c r="L48">
        <v>4.5999999999999996</v>
      </c>
      <c r="M48">
        <v>300000000</v>
      </c>
      <c r="N48">
        <v>13000000000</v>
      </c>
      <c r="O48">
        <v>400000000</v>
      </c>
      <c r="P48">
        <v>600</v>
      </c>
      <c r="Q48" s="1">
        <v>500000</v>
      </c>
      <c r="R48" t="str">
        <f t="shared" si="1"/>
        <v>Legacy</v>
      </c>
    </row>
    <row r="49" spans="1:18" x14ac:dyDescent="0.2">
      <c r="A49" t="s">
        <v>336</v>
      </c>
      <c r="B49">
        <v>2013</v>
      </c>
      <c r="C49" t="s">
        <v>320</v>
      </c>
      <c r="D49" t="s">
        <v>337</v>
      </c>
      <c r="E49" t="s">
        <v>338</v>
      </c>
      <c r="F49" t="s">
        <v>339</v>
      </c>
      <c r="G49" t="s">
        <v>340</v>
      </c>
      <c r="H49" s="1">
        <v>3000000000</v>
      </c>
      <c r="I49">
        <v>700</v>
      </c>
      <c r="J49" t="s">
        <v>341</v>
      </c>
      <c r="K49" t="s">
        <v>342</v>
      </c>
      <c r="L49">
        <v>4.7</v>
      </c>
      <c r="M49">
        <v>100000000</v>
      </c>
      <c r="N49">
        <v>3000000000</v>
      </c>
      <c r="O49">
        <v>350600000</v>
      </c>
      <c r="P49">
        <v>700</v>
      </c>
      <c r="Q49" s="1">
        <v>142857</v>
      </c>
      <c r="R49" t="str">
        <f t="shared" si="1"/>
        <v>Modern</v>
      </c>
    </row>
    <row r="50" spans="1:18" x14ac:dyDescent="0.2">
      <c r="A50" t="s">
        <v>343</v>
      </c>
      <c r="B50">
        <v>2011</v>
      </c>
      <c r="C50" t="s">
        <v>26</v>
      </c>
      <c r="D50" t="s">
        <v>344</v>
      </c>
      <c r="E50" t="s">
        <v>345</v>
      </c>
      <c r="F50" t="s">
        <v>315</v>
      </c>
      <c r="G50" t="s">
        <v>257</v>
      </c>
      <c r="H50" s="1">
        <v>1300000000</v>
      </c>
      <c r="I50">
        <v>800</v>
      </c>
      <c r="J50" t="s">
        <v>346</v>
      </c>
      <c r="K50" t="s">
        <v>347</v>
      </c>
      <c r="L50">
        <v>4.4000000000000004</v>
      </c>
      <c r="M50">
        <v>200000000</v>
      </c>
      <c r="N50">
        <v>1300000000</v>
      </c>
      <c r="O50">
        <v>240700000</v>
      </c>
      <c r="P50">
        <v>800</v>
      </c>
      <c r="Q50" s="1">
        <v>250000</v>
      </c>
      <c r="R50" t="str">
        <f t="shared" si="1"/>
        <v>Modern</v>
      </c>
    </row>
    <row r="51" spans="1:18" x14ac:dyDescent="0.2">
      <c r="A51" t="s">
        <v>348</v>
      </c>
      <c r="B51">
        <v>2012</v>
      </c>
      <c r="C51" t="s">
        <v>26</v>
      </c>
      <c r="D51" t="s">
        <v>349</v>
      </c>
      <c r="E51" t="s">
        <v>350</v>
      </c>
      <c r="F51" t="s">
        <v>315</v>
      </c>
      <c r="G51" t="s">
        <v>351</v>
      </c>
      <c r="H51" s="1">
        <v>3200000000</v>
      </c>
      <c r="I51">
        <v>600</v>
      </c>
      <c r="J51" t="s">
        <v>352</v>
      </c>
      <c r="K51" t="s">
        <v>353</v>
      </c>
      <c r="L51">
        <v>4.5</v>
      </c>
      <c r="M51">
        <v>200000000</v>
      </c>
      <c r="N51">
        <v>3200000000</v>
      </c>
      <c r="O51">
        <v>284000000</v>
      </c>
      <c r="P51">
        <v>600</v>
      </c>
      <c r="Q51" s="1">
        <v>333333</v>
      </c>
      <c r="R51" t="str">
        <f t="shared" si="1"/>
        <v>Modern</v>
      </c>
    </row>
    <row r="52" spans="1:18" x14ac:dyDescent="0.2">
      <c r="A52" t="s">
        <v>354</v>
      </c>
      <c r="B52">
        <v>2013</v>
      </c>
      <c r="C52" t="s">
        <v>355</v>
      </c>
      <c r="D52" t="s">
        <v>356</v>
      </c>
      <c r="E52" t="s">
        <v>357</v>
      </c>
      <c r="F52" t="s">
        <v>315</v>
      </c>
      <c r="G52" t="s">
        <v>358</v>
      </c>
      <c r="H52" s="1">
        <v>6500000000</v>
      </c>
      <c r="I52">
        <v>850</v>
      </c>
      <c r="J52" t="s">
        <v>359</v>
      </c>
      <c r="K52" t="s">
        <v>360</v>
      </c>
      <c r="L52">
        <v>4.4000000000000004</v>
      </c>
      <c r="M52">
        <v>200000000</v>
      </c>
      <c r="N52">
        <v>6500000000</v>
      </c>
      <c r="O52">
        <v>330000000</v>
      </c>
      <c r="P52">
        <v>850</v>
      </c>
      <c r="Q52" s="1">
        <v>235294</v>
      </c>
      <c r="R52" t="str">
        <f t="shared" si="1"/>
        <v>Modern</v>
      </c>
    </row>
    <row r="53" spans="1:18" x14ac:dyDescent="0.2">
      <c r="A53" t="s">
        <v>361</v>
      </c>
      <c r="B53">
        <v>2012</v>
      </c>
      <c r="C53" t="s">
        <v>362</v>
      </c>
      <c r="D53" t="s">
        <v>363</v>
      </c>
      <c r="E53" t="s">
        <v>364</v>
      </c>
      <c r="F53" t="s">
        <v>365</v>
      </c>
      <c r="G53" t="s">
        <v>366</v>
      </c>
      <c r="H53" s="1">
        <v>2600000000</v>
      </c>
      <c r="I53">
        <v>800</v>
      </c>
      <c r="J53" t="s">
        <v>367</v>
      </c>
      <c r="K53" t="s">
        <v>305</v>
      </c>
      <c r="L53">
        <v>4.4000000000000004</v>
      </c>
      <c r="M53">
        <v>150000000</v>
      </c>
      <c r="N53">
        <v>2600000000</v>
      </c>
      <c r="O53">
        <v>281500000</v>
      </c>
      <c r="P53">
        <v>800</v>
      </c>
      <c r="Q53" s="1">
        <v>187500</v>
      </c>
      <c r="R53" t="str">
        <f t="shared" si="1"/>
        <v>Modern</v>
      </c>
    </row>
    <row r="54" spans="1:18" x14ac:dyDescent="0.2">
      <c r="A54" t="s">
        <v>368</v>
      </c>
      <c r="B54">
        <v>2012</v>
      </c>
      <c r="C54" t="s">
        <v>26</v>
      </c>
      <c r="D54" t="s">
        <v>369</v>
      </c>
      <c r="E54" t="s">
        <v>370</v>
      </c>
      <c r="F54" t="s">
        <v>371</v>
      </c>
      <c r="G54" t="s">
        <v>372</v>
      </c>
      <c r="H54" s="1">
        <v>4000000000</v>
      </c>
      <c r="I54">
        <v>700</v>
      </c>
      <c r="J54" t="s">
        <v>373</v>
      </c>
      <c r="K54" t="s">
        <v>374</v>
      </c>
      <c r="L54">
        <v>4.5</v>
      </c>
      <c r="M54">
        <v>233000000</v>
      </c>
      <c r="N54">
        <v>4000000000</v>
      </c>
      <c r="O54">
        <v>336000000</v>
      </c>
      <c r="P54">
        <v>700</v>
      </c>
      <c r="Q54" s="1">
        <v>332857</v>
      </c>
      <c r="R54" t="str">
        <f t="shared" si="1"/>
        <v>Modern</v>
      </c>
    </row>
    <row r="55" spans="1:18" x14ac:dyDescent="0.2">
      <c r="A55" t="s">
        <v>375</v>
      </c>
      <c r="B55">
        <v>2009</v>
      </c>
      <c r="C55" t="s">
        <v>26</v>
      </c>
      <c r="D55" t="s">
        <v>369</v>
      </c>
      <c r="E55" t="s">
        <v>376</v>
      </c>
      <c r="F55" t="s">
        <v>339</v>
      </c>
      <c r="G55" t="s">
        <v>377</v>
      </c>
      <c r="H55" s="1">
        <v>1050000000</v>
      </c>
      <c r="I55">
        <v>300</v>
      </c>
      <c r="J55" t="s">
        <v>378</v>
      </c>
      <c r="K55" t="s">
        <v>369</v>
      </c>
      <c r="L55">
        <v>4.4000000000000004</v>
      </c>
      <c r="M55">
        <v>100000000</v>
      </c>
      <c r="N55">
        <v>1050000000</v>
      </c>
      <c r="O55">
        <v>77000000</v>
      </c>
      <c r="P55">
        <v>300</v>
      </c>
      <c r="Q55" s="1">
        <v>333333</v>
      </c>
      <c r="R55" t="str">
        <f t="shared" si="1"/>
        <v>Legacy</v>
      </c>
    </row>
    <row r="56" spans="1:18" x14ac:dyDescent="0.2">
      <c r="A56" t="s">
        <v>379</v>
      </c>
      <c r="B56">
        <v>2010</v>
      </c>
      <c r="C56" t="s">
        <v>230</v>
      </c>
      <c r="D56" t="s">
        <v>380</v>
      </c>
      <c r="E56" t="s">
        <v>381</v>
      </c>
      <c r="F56" t="s">
        <v>382</v>
      </c>
      <c r="G56" t="s">
        <v>383</v>
      </c>
      <c r="H56" s="1">
        <v>2300000000</v>
      </c>
      <c r="I56">
        <v>750</v>
      </c>
      <c r="J56" t="s">
        <v>384</v>
      </c>
      <c r="K56" t="s">
        <v>385</v>
      </c>
      <c r="L56">
        <v>4.2</v>
      </c>
      <c r="M56">
        <v>299000000</v>
      </c>
      <c r="N56">
        <v>2300000000</v>
      </c>
      <c r="O56">
        <v>235000000</v>
      </c>
      <c r="P56">
        <v>750</v>
      </c>
      <c r="Q56" s="1">
        <v>398667</v>
      </c>
      <c r="R56" t="str">
        <f t="shared" si="1"/>
        <v>Modern</v>
      </c>
    </row>
    <row r="57" spans="1:18" x14ac:dyDescent="0.2">
      <c r="A57" t="s">
        <v>386</v>
      </c>
      <c r="B57">
        <v>2008</v>
      </c>
      <c r="C57" t="s">
        <v>34</v>
      </c>
      <c r="D57" t="s">
        <v>387</v>
      </c>
      <c r="E57" t="s">
        <v>388</v>
      </c>
      <c r="F57" t="s">
        <v>263</v>
      </c>
      <c r="G57" t="s">
        <v>389</v>
      </c>
      <c r="H57" s="1">
        <v>30000000000</v>
      </c>
      <c r="I57">
        <v>5000</v>
      </c>
      <c r="J57" t="s">
        <v>390</v>
      </c>
      <c r="K57" t="s">
        <v>391</v>
      </c>
      <c r="L57">
        <v>4.4000000000000004</v>
      </c>
      <c r="M57">
        <v>1600000000</v>
      </c>
      <c r="N57">
        <v>30000000000</v>
      </c>
      <c r="O57">
        <v>148000000</v>
      </c>
      <c r="P57">
        <v>5000</v>
      </c>
      <c r="Q57" s="1">
        <v>320000</v>
      </c>
      <c r="R57" t="str">
        <f t="shared" si="1"/>
        <v>Legacy</v>
      </c>
    </row>
    <row r="58" spans="1:18" x14ac:dyDescent="0.2">
      <c r="A58" t="s">
        <v>392</v>
      </c>
      <c r="B58">
        <v>2011</v>
      </c>
      <c r="C58" t="s">
        <v>42</v>
      </c>
      <c r="D58" t="s">
        <v>393</v>
      </c>
      <c r="E58" t="s">
        <v>394</v>
      </c>
      <c r="F58" t="s">
        <v>395</v>
      </c>
      <c r="G58" t="s">
        <v>396</v>
      </c>
      <c r="H58" s="1">
        <v>70000000000</v>
      </c>
      <c r="I58">
        <v>7900</v>
      </c>
      <c r="J58" t="s">
        <v>397</v>
      </c>
      <c r="K58" t="s">
        <v>398</v>
      </c>
      <c r="L58">
        <v>4.7</v>
      </c>
      <c r="M58">
        <v>3100000000</v>
      </c>
      <c r="N58">
        <v>70000000000</v>
      </c>
      <c r="O58">
        <v>481000000</v>
      </c>
      <c r="P58">
        <v>7900</v>
      </c>
      <c r="Q58" s="1">
        <v>392405</v>
      </c>
      <c r="R58" t="str">
        <f t="shared" si="1"/>
        <v>Modern</v>
      </c>
    </row>
    <row r="59" spans="1:18" x14ac:dyDescent="0.2">
      <c r="A59" t="s">
        <v>399</v>
      </c>
      <c r="B59">
        <v>2005</v>
      </c>
      <c r="C59" t="s">
        <v>64</v>
      </c>
      <c r="D59" t="s">
        <v>393</v>
      </c>
      <c r="E59" t="s">
        <v>400</v>
      </c>
      <c r="F59" t="s">
        <v>401</v>
      </c>
      <c r="G59" t="s">
        <v>91</v>
      </c>
      <c r="H59" s="1">
        <v>95000000000</v>
      </c>
      <c r="I59">
        <v>13300</v>
      </c>
      <c r="J59" t="s">
        <v>402</v>
      </c>
      <c r="K59" t="s">
        <v>403</v>
      </c>
      <c r="L59">
        <v>4.5</v>
      </c>
      <c r="M59">
        <v>7500000000</v>
      </c>
      <c r="N59">
        <v>95000000000</v>
      </c>
      <c r="O59">
        <v>66300000</v>
      </c>
      <c r="P59">
        <v>13300</v>
      </c>
      <c r="Q59" s="1">
        <v>563910</v>
      </c>
      <c r="R59" t="str">
        <f t="shared" si="1"/>
        <v>Legacy</v>
      </c>
    </row>
    <row r="60" spans="1:18" x14ac:dyDescent="0.2">
      <c r="A60" t="s">
        <v>404</v>
      </c>
      <c r="B60">
        <v>2003</v>
      </c>
      <c r="C60" t="s">
        <v>405</v>
      </c>
      <c r="D60" t="s">
        <v>158</v>
      </c>
      <c r="E60" t="s">
        <v>406</v>
      </c>
      <c r="F60" t="s">
        <v>114</v>
      </c>
      <c r="G60" t="s">
        <v>407</v>
      </c>
      <c r="H60" s="1">
        <v>5000000000</v>
      </c>
      <c r="I60">
        <v>3600</v>
      </c>
      <c r="J60" t="s">
        <v>408</v>
      </c>
      <c r="K60" t="s">
        <v>409</v>
      </c>
      <c r="L60">
        <v>4.2</v>
      </c>
      <c r="M60">
        <v>2200000000</v>
      </c>
      <c r="N60">
        <v>5000000000</v>
      </c>
      <c r="O60">
        <v>44000000</v>
      </c>
      <c r="P60">
        <v>3600</v>
      </c>
      <c r="Q60" s="1">
        <v>611111</v>
      </c>
      <c r="R60" t="str">
        <f t="shared" si="1"/>
        <v>Legacy</v>
      </c>
    </row>
    <row r="61" spans="1:18" x14ac:dyDescent="0.2">
      <c r="A61" t="s">
        <v>410</v>
      </c>
      <c r="B61">
        <v>2001</v>
      </c>
      <c r="C61" t="s">
        <v>411</v>
      </c>
      <c r="D61" t="s">
        <v>412</v>
      </c>
      <c r="E61" t="s">
        <v>413</v>
      </c>
      <c r="F61" t="s">
        <v>414</v>
      </c>
      <c r="G61" t="s">
        <v>219</v>
      </c>
      <c r="H61" s="1">
        <v>8000000000</v>
      </c>
      <c r="I61">
        <v>2800</v>
      </c>
      <c r="J61" t="s">
        <v>415</v>
      </c>
      <c r="K61" t="s">
        <v>416</v>
      </c>
      <c r="L61">
        <v>4.3</v>
      </c>
      <c r="M61">
        <v>787000000</v>
      </c>
      <c r="N61">
        <v>8000000000</v>
      </c>
      <c r="O61">
        <v>242000000</v>
      </c>
      <c r="P61">
        <v>2800</v>
      </c>
      <c r="Q61" s="1">
        <v>281071</v>
      </c>
      <c r="R61" t="str">
        <f t="shared" si="1"/>
        <v>Legacy</v>
      </c>
    </row>
    <row r="62" spans="1:18" x14ac:dyDescent="0.2">
      <c r="A62" t="s">
        <v>417</v>
      </c>
      <c r="B62">
        <v>2007</v>
      </c>
      <c r="C62" t="s">
        <v>72</v>
      </c>
      <c r="D62" t="s">
        <v>418</v>
      </c>
      <c r="E62" t="s">
        <v>419</v>
      </c>
      <c r="F62" t="s">
        <v>420</v>
      </c>
      <c r="G62" t="s">
        <v>421</v>
      </c>
      <c r="H62" s="1">
        <v>35000000000</v>
      </c>
      <c r="I62">
        <v>5600</v>
      </c>
      <c r="J62" t="s">
        <v>422</v>
      </c>
      <c r="K62" t="s">
        <v>423</v>
      </c>
      <c r="L62">
        <v>4.3</v>
      </c>
      <c r="M62">
        <v>2400000000</v>
      </c>
      <c r="N62">
        <v>35000000000</v>
      </c>
      <c r="O62">
        <v>7000000</v>
      </c>
      <c r="P62">
        <v>5600</v>
      </c>
      <c r="Q62" s="1">
        <v>428571</v>
      </c>
      <c r="R62" t="str">
        <f t="shared" si="1"/>
        <v>Legacy</v>
      </c>
    </row>
    <row r="63" spans="1:18" x14ac:dyDescent="0.2">
      <c r="A63" t="s">
        <v>424</v>
      </c>
      <c r="B63">
        <v>2006</v>
      </c>
      <c r="C63" t="s">
        <v>240</v>
      </c>
      <c r="D63" t="s">
        <v>425</v>
      </c>
      <c r="E63" t="s">
        <v>426</v>
      </c>
      <c r="F63" t="s">
        <v>427</v>
      </c>
      <c r="G63" t="s">
        <v>428</v>
      </c>
      <c r="H63" s="1">
        <v>8000000000</v>
      </c>
      <c r="I63">
        <v>3200</v>
      </c>
      <c r="J63" t="s">
        <v>429</v>
      </c>
      <c r="K63" t="s">
        <v>430</v>
      </c>
      <c r="L63">
        <v>4.3</v>
      </c>
      <c r="M63">
        <v>725000000</v>
      </c>
      <c r="N63">
        <v>8000000000</v>
      </c>
      <c r="O63">
        <v>169500000</v>
      </c>
      <c r="P63">
        <v>3200</v>
      </c>
      <c r="Q63" s="1">
        <v>226562</v>
      </c>
      <c r="R63" t="str">
        <f t="shared" si="1"/>
        <v>Legacy</v>
      </c>
    </row>
    <row r="64" spans="1:18" x14ac:dyDescent="0.2">
      <c r="A64" t="s">
        <v>431</v>
      </c>
      <c r="B64">
        <v>2006</v>
      </c>
      <c r="C64" t="s">
        <v>34</v>
      </c>
      <c r="D64" t="s">
        <v>432</v>
      </c>
      <c r="E64" t="s">
        <v>433</v>
      </c>
      <c r="F64" t="s">
        <v>434</v>
      </c>
      <c r="G64" t="s">
        <v>435</v>
      </c>
      <c r="H64" s="1">
        <v>9000000000</v>
      </c>
      <c r="I64">
        <v>2500</v>
      </c>
      <c r="J64" t="s">
        <v>436</v>
      </c>
      <c r="K64" t="s">
        <v>437</v>
      </c>
      <c r="L64">
        <v>4.3</v>
      </c>
      <c r="M64">
        <v>900000000</v>
      </c>
      <c r="N64">
        <v>9000000000</v>
      </c>
      <c r="O64">
        <v>402700000</v>
      </c>
      <c r="P64">
        <v>2500</v>
      </c>
      <c r="Q64" s="1">
        <v>360000</v>
      </c>
      <c r="R64" t="str">
        <f t="shared" si="1"/>
        <v>Legacy</v>
      </c>
    </row>
    <row r="65" spans="1:18" x14ac:dyDescent="0.2">
      <c r="A65" t="s">
        <v>438</v>
      </c>
      <c r="B65">
        <v>2007</v>
      </c>
      <c r="C65" t="s">
        <v>439</v>
      </c>
      <c r="D65" t="s">
        <v>440</v>
      </c>
      <c r="E65" t="s">
        <v>441</v>
      </c>
      <c r="F65" t="s">
        <v>284</v>
      </c>
      <c r="G65" t="s">
        <v>161</v>
      </c>
      <c r="H65" s="1">
        <v>12000000000</v>
      </c>
      <c r="I65">
        <v>3500</v>
      </c>
      <c r="J65" t="s">
        <v>442</v>
      </c>
      <c r="K65" t="s">
        <v>443</v>
      </c>
      <c r="L65">
        <v>4.4000000000000004</v>
      </c>
      <c r="M65">
        <v>1100000000</v>
      </c>
      <c r="N65">
        <v>12000000000</v>
      </c>
      <c r="O65">
        <v>241700000</v>
      </c>
      <c r="P65">
        <v>3500</v>
      </c>
      <c r="Q65" s="1">
        <v>314286</v>
      </c>
      <c r="R65" t="str">
        <f t="shared" si="1"/>
        <v>Legacy</v>
      </c>
    </row>
    <row r="66" spans="1:18" x14ac:dyDescent="0.2">
      <c r="A66" t="s">
        <v>444</v>
      </c>
      <c r="B66">
        <v>2005</v>
      </c>
      <c r="C66" t="s">
        <v>355</v>
      </c>
      <c r="D66" t="s">
        <v>191</v>
      </c>
      <c r="E66" t="s">
        <v>445</v>
      </c>
      <c r="F66" t="s">
        <v>446</v>
      </c>
      <c r="G66" t="s">
        <v>447</v>
      </c>
      <c r="H66" s="1">
        <v>8400000000</v>
      </c>
      <c r="I66">
        <v>3200</v>
      </c>
      <c r="J66" t="s">
        <v>448</v>
      </c>
      <c r="K66" t="s">
        <v>201</v>
      </c>
      <c r="L66">
        <v>4.4000000000000004</v>
      </c>
      <c r="M66">
        <v>880000000</v>
      </c>
      <c r="N66">
        <v>8400000000</v>
      </c>
      <c r="O66">
        <v>120800000</v>
      </c>
      <c r="P66">
        <v>3200</v>
      </c>
      <c r="Q66" s="1">
        <v>275000</v>
      </c>
      <c r="R66" t="str">
        <f t="shared" ref="R66:R101" si="2">IF(B66&lt;2010, "Legacy","Modern")</f>
        <v>Legacy</v>
      </c>
    </row>
    <row r="67" spans="1:18" x14ac:dyDescent="0.2">
      <c r="A67" t="s">
        <v>449</v>
      </c>
      <c r="B67">
        <v>2002</v>
      </c>
      <c r="C67" t="s">
        <v>450</v>
      </c>
      <c r="D67" t="s">
        <v>451</v>
      </c>
      <c r="E67" t="s">
        <v>134</v>
      </c>
      <c r="F67" t="s">
        <v>452</v>
      </c>
      <c r="G67" t="s">
        <v>453</v>
      </c>
      <c r="H67" s="1">
        <v>12500000000</v>
      </c>
      <c r="I67">
        <v>5300</v>
      </c>
      <c r="J67" t="s">
        <v>454</v>
      </c>
      <c r="K67" t="s">
        <v>455</v>
      </c>
      <c r="L67">
        <v>4.4000000000000004</v>
      </c>
      <c r="M67">
        <v>1500000000</v>
      </c>
      <c r="N67">
        <v>12500000000</v>
      </c>
      <c r="O67">
        <v>400000000</v>
      </c>
      <c r="P67">
        <v>5300</v>
      </c>
      <c r="Q67" s="1">
        <v>283019</v>
      </c>
      <c r="R67" t="str">
        <f t="shared" si="2"/>
        <v>Legacy</v>
      </c>
    </row>
    <row r="68" spans="1:18" x14ac:dyDescent="0.2">
      <c r="A68" t="s">
        <v>456</v>
      </c>
      <c r="B68">
        <v>2006</v>
      </c>
      <c r="C68" t="s">
        <v>190</v>
      </c>
      <c r="D68" t="s">
        <v>457</v>
      </c>
      <c r="E68" t="s">
        <v>458</v>
      </c>
      <c r="F68" t="s">
        <v>263</v>
      </c>
      <c r="G68" t="s">
        <v>122</v>
      </c>
      <c r="H68" s="1">
        <v>10000000000</v>
      </c>
      <c r="I68">
        <v>5500</v>
      </c>
      <c r="J68" t="s">
        <v>459</v>
      </c>
      <c r="K68" t="s">
        <v>460</v>
      </c>
      <c r="L68">
        <v>4.2</v>
      </c>
      <c r="M68">
        <v>1600000000</v>
      </c>
      <c r="N68">
        <v>10000000000</v>
      </c>
      <c r="O68">
        <v>59000000</v>
      </c>
      <c r="P68">
        <v>5500</v>
      </c>
      <c r="Q68" s="1">
        <v>290909</v>
      </c>
      <c r="R68" t="str">
        <f t="shared" si="2"/>
        <v>Legacy</v>
      </c>
    </row>
    <row r="69" spans="1:18" x14ac:dyDescent="0.2">
      <c r="A69" t="s">
        <v>461</v>
      </c>
      <c r="B69">
        <v>2011</v>
      </c>
      <c r="C69" t="s">
        <v>248</v>
      </c>
      <c r="D69" t="s">
        <v>462</v>
      </c>
      <c r="E69" t="s">
        <v>463</v>
      </c>
      <c r="F69" t="s">
        <v>464</v>
      </c>
      <c r="G69" t="s">
        <v>465</v>
      </c>
      <c r="H69" s="1">
        <v>20000000000</v>
      </c>
      <c r="I69">
        <v>4500</v>
      </c>
      <c r="J69" t="s">
        <v>466</v>
      </c>
      <c r="K69" t="s">
        <v>467</v>
      </c>
      <c r="L69">
        <v>4.3</v>
      </c>
      <c r="M69">
        <v>3900000000</v>
      </c>
      <c r="N69">
        <v>20000000000</v>
      </c>
      <c r="O69">
        <v>902000000</v>
      </c>
      <c r="P69">
        <v>4500</v>
      </c>
      <c r="Q69" s="1">
        <v>866667</v>
      </c>
      <c r="R69" t="str">
        <f t="shared" si="2"/>
        <v>Modern</v>
      </c>
    </row>
    <row r="70" spans="1:18" x14ac:dyDescent="0.2">
      <c r="A70" t="s">
        <v>468</v>
      </c>
      <c r="B70">
        <v>2015</v>
      </c>
      <c r="C70" t="s">
        <v>26</v>
      </c>
      <c r="D70" t="s">
        <v>469</v>
      </c>
      <c r="E70" t="s">
        <v>470</v>
      </c>
      <c r="F70" t="s">
        <v>471</v>
      </c>
      <c r="G70" t="s">
        <v>75</v>
      </c>
      <c r="H70" s="1">
        <v>7300000000</v>
      </c>
      <c r="I70">
        <v>1300</v>
      </c>
      <c r="J70" t="s">
        <v>472</v>
      </c>
      <c r="K70" t="s">
        <v>473</v>
      </c>
      <c r="L70">
        <v>4.7</v>
      </c>
      <c r="M70">
        <v>250000000</v>
      </c>
      <c r="N70">
        <v>7300000000</v>
      </c>
      <c r="O70">
        <v>584000000</v>
      </c>
      <c r="P70">
        <v>1300</v>
      </c>
      <c r="Q70" s="1">
        <v>192308</v>
      </c>
      <c r="R70" t="str">
        <f t="shared" si="2"/>
        <v>Modern</v>
      </c>
    </row>
    <row r="71" spans="1:18" x14ac:dyDescent="0.2">
      <c r="A71" t="s">
        <v>474</v>
      </c>
      <c r="B71">
        <v>2014</v>
      </c>
      <c r="C71" t="s">
        <v>475</v>
      </c>
      <c r="D71" t="s">
        <v>476</v>
      </c>
      <c r="E71" t="s">
        <v>477</v>
      </c>
      <c r="F71" t="s">
        <v>315</v>
      </c>
      <c r="G71" t="s">
        <v>478</v>
      </c>
      <c r="H71" s="1">
        <v>4400000000</v>
      </c>
      <c r="I71">
        <v>1000</v>
      </c>
      <c r="J71" t="s">
        <v>479</v>
      </c>
      <c r="K71" t="s">
        <v>480</v>
      </c>
      <c r="L71">
        <v>4.3</v>
      </c>
      <c r="M71">
        <v>200000000</v>
      </c>
      <c r="N71">
        <v>4400000000</v>
      </c>
      <c r="O71">
        <v>489000000</v>
      </c>
      <c r="P71">
        <v>1000</v>
      </c>
      <c r="Q71" s="1">
        <v>200000</v>
      </c>
      <c r="R71" t="str">
        <f t="shared" si="2"/>
        <v>Modern</v>
      </c>
    </row>
    <row r="72" spans="1:18" x14ac:dyDescent="0.2">
      <c r="A72" t="s">
        <v>481</v>
      </c>
      <c r="B72">
        <v>2011</v>
      </c>
      <c r="C72" t="s">
        <v>320</v>
      </c>
      <c r="D72" t="s">
        <v>476</v>
      </c>
      <c r="E72" t="s">
        <v>482</v>
      </c>
      <c r="F72" t="s">
        <v>315</v>
      </c>
      <c r="G72" t="s">
        <v>383</v>
      </c>
      <c r="H72" s="1">
        <v>2300000000</v>
      </c>
      <c r="I72">
        <v>900</v>
      </c>
      <c r="J72" t="s">
        <v>483</v>
      </c>
      <c r="K72" t="s">
        <v>480</v>
      </c>
      <c r="L72">
        <v>4.4000000000000004</v>
      </c>
      <c r="M72">
        <v>200000000</v>
      </c>
      <c r="N72">
        <v>2300000000</v>
      </c>
      <c r="O72">
        <v>245000000</v>
      </c>
      <c r="P72">
        <v>900</v>
      </c>
      <c r="Q72" s="1">
        <v>222222</v>
      </c>
      <c r="R72" t="str">
        <f t="shared" si="2"/>
        <v>Modern</v>
      </c>
    </row>
    <row r="73" spans="1:18" x14ac:dyDescent="0.2">
      <c r="A73" t="s">
        <v>484</v>
      </c>
      <c r="B73">
        <v>2011</v>
      </c>
      <c r="C73" t="s">
        <v>138</v>
      </c>
      <c r="D73" t="s">
        <v>241</v>
      </c>
      <c r="E73" t="s">
        <v>485</v>
      </c>
      <c r="F73" t="s">
        <v>486</v>
      </c>
      <c r="G73" t="s">
        <v>487</v>
      </c>
      <c r="H73" s="1">
        <v>5600000000</v>
      </c>
      <c r="I73">
        <v>1300</v>
      </c>
      <c r="J73" t="s">
        <v>488</v>
      </c>
      <c r="K73" t="s">
        <v>489</v>
      </c>
      <c r="L73">
        <v>4.5</v>
      </c>
      <c r="M73">
        <v>420000000</v>
      </c>
      <c r="N73">
        <v>5600000000</v>
      </c>
      <c r="O73">
        <v>175000000</v>
      </c>
      <c r="P73">
        <v>1300</v>
      </c>
      <c r="Q73" s="1">
        <v>323077</v>
      </c>
      <c r="R73" t="str">
        <f t="shared" si="2"/>
        <v>Modern</v>
      </c>
    </row>
    <row r="74" spans="1:18" x14ac:dyDescent="0.2">
      <c r="A74" t="s">
        <v>490</v>
      </c>
      <c r="B74">
        <v>2014</v>
      </c>
      <c r="C74" t="s">
        <v>491</v>
      </c>
      <c r="D74" t="s">
        <v>492</v>
      </c>
      <c r="E74" t="s">
        <v>357</v>
      </c>
      <c r="F74" t="s">
        <v>339</v>
      </c>
      <c r="G74" t="s">
        <v>340</v>
      </c>
      <c r="H74" s="1">
        <v>3000000000</v>
      </c>
      <c r="I74">
        <v>350</v>
      </c>
      <c r="J74" t="s">
        <v>493</v>
      </c>
      <c r="K74" t="s">
        <v>494</v>
      </c>
      <c r="L74">
        <v>4.7</v>
      </c>
      <c r="M74">
        <v>100000000</v>
      </c>
      <c r="N74">
        <v>3000000000</v>
      </c>
      <c r="O74">
        <v>330000000</v>
      </c>
      <c r="P74">
        <v>350</v>
      </c>
      <c r="Q74" s="1">
        <v>285714</v>
      </c>
      <c r="R74" t="str">
        <f t="shared" si="2"/>
        <v>Modern</v>
      </c>
    </row>
    <row r="75" spans="1:18" x14ac:dyDescent="0.2">
      <c r="A75" t="s">
        <v>495</v>
      </c>
      <c r="B75">
        <v>2011</v>
      </c>
      <c r="C75" t="s">
        <v>26</v>
      </c>
      <c r="D75" t="s">
        <v>496</v>
      </c>
      <c r="E75" t="s">
        <v>497</v>
      </c>
      <c r="F75" t="s">
        <v>205</v>
      </c>
      <c r="G75" t="s">
        <v>252</v>
      </c>
      <c r="H75" s="1">
        <v>9500000000</v>
      </c>
      <c r="I75">
        <v>2500</v>
      </c>
      <c r="J75" t="s">
        <v>498</v>
      </c>
      <c r="K75" t="s">
        <v>499</v>
      </c>
      <c r="L75">
        <v>4.5</v>
      </c>
      <c r="M75">
        <v>500000000</v>
      </c>
      <c r="N75">
        <v>9500000000</v>
      </c>
      <c r="O75">
        <v>516000000</v>
      </c>
      <c r="P75">
        <v>2500</v>
      </c>
      <c r="Q75" s="1">
        <v>200000</v>
      </c>
      <c r="R75" t="str">
        <f t="shared" si="2"/>
        <v>Modern</v>
      </c>
    </row>
    <row r="76" spans="1:18" x14ac:dyDescent="0.2">
      <c r="A76" t="s">
        <v>500</v>
      </c>
      <c r="B76">
        <v>2016</v>
      </c>
      <c r="C76" t="s">
        <v>26</v>
      </c>
      <c r="D76" t="s">
        <v>501</v>
      </c>
      <c r="E76" t="s">
        <v>502</v>
      </c>
      <c r="F76" t="s">
        <v>503</v>
      </c>
      <c r="G76" t="s">
        <v>504</v>
      </c>
      <c r="H76" s="1">
        <v>13500000000</v>
      </c>
      <c r="I76">
        <v>2000</v>
      </c>
      <c r="J76" t="s">
        <v>505</v>
      </c>
      <c r="K76" t="s">
        <v>506</v>
      </c>
      <c r="L76">
        <v>4.8</v>
      </c>
      <c r="M76">
        <v>350000000</v>
      </c>
      <c r="N76">
        <v>13500000000</v>
      </c>
      <c r="O76">
        <v>1200000000</v>
      </c>
      <c r="P76">
        <v>2000</v>
      </c>
      <c r="Q76" s="1">
        <v>175000</v>
      </c>
      <c r="R76" t="str">
        <f t="shared" si="2"/>
        <v>Modern</v>
      </c>
    </row>
    <row r="77" spans="1:18" x14ac:dyDescent="0.2">
      <c r="A77" t="s">
        <v>507</v>
      </c>
      <c r="B77">
        <v>2012</v>
      </c>
      <c r="C77" t="s">
        <v>26</v>
      </c>
      <c r="D77" t="s">
        <v>508</v>
      </c>
      <c r="E77" t="s">
        <v>284</v>
      </c>
      <c r="F77" t="s">
        <v>333</v>
      </c>
      <c r="G77" t="s">
        <v>509</v>
      </c>
      <c r="H77" s="1">
        <v>7400000000</v>
      </c>
      <c r="I77">
        <v>1600</v>
      </c>
      <c r="J77" t="s">
        <v>510</v>
      </c>
      <c r="K77" t="s">
        <v>511</v>
      </c>
      <c r="L77">
        <v>4.4000000000000004</v>
      </c>
      <c r="M77">
        <v>300000000</v>
      </c>
      <c r="N77">
        <v>7400000000</v>
      </c>
      <c r="O77">
        <v>1100000000</v>
      </c>
      <c r="P77">
        <v>1600</v>
      </c>
      <c r="Q77" s="1">
        <v>187500</v>
      </c>
      <c r="R77" t="str">
        <f t="shared" si="2"/>
        <v>Modern</v>
      </c>
    </row>
    <row r="78" spans="1:18" x14ac:dyDescent="0.2">
      <c r="A78" t="s">
        <v>512</v>
      </c>
      <c r="B78">
        <v>2013</v>
      </c>
      <c r="C78" t="s">
        <v>26</v>
      </c>
      <c r="D78" t="s">
        <v>513</v>
      </c>
      <c r="E78" t="s">
        <v>514</v>
      </c>
      <c r="F78" t="s">
        <v>134</v>
      </c>
      <c r="G78" t="s">
        <v>515</v>
      </c>
      <c r="H78" s="1">
        <v>13400000000</v>
      </c>
      <c r="I78">
        <v>800</v>
      </c>
      <c r="J78" t="s">
        <v>516</v>
      </c>
      <c r="K78" t="s">
        <v>517</v>
      </c>
      <c r="L78">
        <v>4.5</v>
      </c>
      <c r="M78">
        <v>400000000</v>
      </c>
      <c r="N78">
        <v>13400000000</v>
      </c>
      <c r="O78">
        <v>734000000</v>
      </c>
      <c r="P78">
        <v>800</v>
      </c>
      <c r="Q78" s="1">
        <v>500000</v>
      </c>
      <c r="R78" t="str">
        <f t="shared" si="2"/>
        <v>Modern</v>
      </c>
    </row>
    <row r="79" spans="1:18" x14ac:dyDescent="0.2">
      <c r="A79" t="s">
        <v>518</v>
      </c>
      <c r="B79">
        <v>2010</v>
      </c>
      <c r="C79" t="s">
        <v>491</v>
      </c>
      <c r="D79" t="s">
        <v>519</v>
      </c>
      <c r="E79" t="s">
        <v>520</v>
      </c>
      <c r="F79" t="s">
        <v>521</v>
      </c>
      <c r="G79" t="s">
        <v>522</v>
      </c>
      <c r="H79" s="1">
        <v>4300000000</v>
      </c>
      <c r="I79">
        <v>900</v>
      </c>
      <c r="J79" t="s">
        <v>220</v>
      </c>
      <c r="K79" t="s">
        <v>523</v>
      </c>
      <c r="L79">
        <v>4.3</v>
      </c>
      <c r="M79">
        <v>717000000</v>
      </c>
      <c r="N79">
        <v>4300000000</v>
      </c>
      <c r="O79">
        <v>528000000</v>
      </c>
      <c r="P79">
        <v>900</v>
      </c>
      <c r="Q79" s="1">
        <v>796667</v>
      </c>
      <c r="R79" t="str">
        <f t="shared" si="2"/>
        <v>Modern</v>
      </c>
    </row>
    <row r="80" spans="1:18" x14ac:dyDescent="0.2">
      <c r="A80" t="s">
        <v>524</v>
      </c>
      <c r="B80">
        <v>2012</v>
      </c>
      <c r="C80" t="s">
        <v>26</v>
      </c>
      <c r="D80" t="s">
        <v>525</v>
      </c>
      <c r="E80" t="s">
        <v>452</v>
      </c>
      <c r="F80" t="s">
        <v>263</v>
      </c>
      <c r="G80" t="s">
        <v>161</v>
      </c>
      <c r="H80" s="1">
        <v>12000000000</v>
      </c>
      <c r="I80">
        <v>2500</v>
      </c>
      <c r="J80" t="s">
        <v>526</v>
      </c>
      <c r="K80" t="s">
        <v>527</v>
      </c>
      <c r="L80">
        <v>4.0999999999999996</v>
      </c>
      <c r="M80">
        <v>1600000000</v>
      </c>
      <c r="N80">
        <v>12000000000</v>
      </c>
      <c r="O80">
        <v>1500000000</v>
      </c>
      <c r="P80">
        <v>2500</v>
      </c>
      <c r="Q80" s="1">
        <v>640000</v>
      </c>
      <c r="R80" t="str">
        <f t="shared" si="2"/>
        <v>Modern</v>
      </c>
    </row>
    <row r="81" spans="1:18" x14ac:dyDescent="0.2">
      <c r="A81" t="s">
        <v>528</v>
      </c>
      <c r="B81">
        <v>2019</v>
      </c>
      <c r="C81" t="s">
        <v>138</v>
      </c>
      <c r="D81" t="s">
        <v>529</v>
      </c>
      <c r="E81" t="s">
        <v>502</v>
      </c>
      <c r="F81" t="s">
        <v>333</v>
      </c>
      <c r="G81" t="s">
        <v>530</v>
      </c>
      <c r="H81" s="1">
        <v>8100000000</v>
      </c>
      <c r="I81">
        <v>500</v>
      </c>
      <c r="J81" t="s">
        <v>531</v>
      </c>
      <c r="K81" t="s">
        <v>532</v>
      </c>
      <c r="L81">
        <v>4.8</v>
      </c>
      <c r="M81">
        <v>300000000</v>
      </c>
      <c r="N81">
        <v>8100000000</v>
      </c>
      <c r="O81">
        <v>1200000000</v>
      </c>
      <c r="P81">
        <v>500</v>
      </c>
      <c r="Q81" s="1">
        <v>600000</v>
      </c>
      <c r="R81" t="str">
        <f t="shared" si="2"/>
        <v>Modern</v>
      </c>
    </row>
    <row r="82" spans="1:18" x14ac:dyDescent="0.2">
      <c r="A82" t="s">
        <v>533</v>
      </c>
      <c r="B82">
        <v>2017</v>
      </c>
      <c r="C82" t="s">
        <v>26</v>
      </c>
      <c r="D82" t="s">
        <v>534</v>
      </c>
      <c r="E82" t="s">
        <v>452</v>
      </c>
      <c r="F82" t="s">
        <v>134</v>
      </c>
      <c r="G82" t="s">
        <v>535</v>
      </c>
      <c r="H82" s="1">
        <v>12300000000</v>
      </c>
      <c r="I82">
        <v>1100</v>
      </c>
      <c r="J82" t="s">
        <v>536</v>
      </c>
      <c r="K82" t="s">
        <v>537</v>
      </c>
      <c r="L82">
        <v>4.5999999999999996</v>
      </c>
      <c r="M82">
        <v>400000000</v>
      </c>
      <c r="N82">
        <v>12300000000</v>
      </c>
      <c r="O82">
        <v>1500000000</v>
      </c>
      <c r="P82">
        <v>1100</v>
      </c>
      <c r="Q82" s="1">
        <v>363636</v>
      </c>
      <c r="R82" t="str">
        <f t="shared" si="2"/>
        <v>Modern</v>
      </c>
    </row>
    <row r="83" spans="1:18" x14ac:dyDescent="0.2">
      <c r="A83" t="s">
        <v>538</v>
      </c>
      <c r="B83">
        <v>2015</v>
      </c>
      <c r="C83" t="s">
        <v>539</v>
      </c>
      <c r="D83" t="s">
        <v>540</v>
      </c>
      <c r="E83" t="s">
        <v>452</v>
      </c>
      <c r="F83" t="s">
        <v>134</v>
      </c>
      <c r="G83" t="s">
        <v>541</v>
      </c>
      <c r="H83" s="1">
        <v>9200000000</v>
      </c>
      <c r="I83">
        <v>2500</v>
      </c>
      <c r="J83" t="s">
        <v>542</v>
      </c>
      <c r="K83" t="s">
        <v>543</v>
      </c>
      <c r="L83">
        <v>4.7</v>
      </c>
      <c r="M83">
        <v>400000000</v>
      </c>
      <c r="N83">
        <v>9200000000</v>
      </c>
      <c r="O83">
        <v>1500000000</v>
      </c>
      <c r="P83">
        <v>2500</v>
      </c>
      <c r="Q83" s="1">
        <v>160000</v>
      </c>
      <c r="R83" t="str">
        <f t="shared" si="2"/>
        <v>Modern</v>
      </c>
    </row>
    <row r="84" spans="1:18" x14ac:dyDescent="0.2">
      <c r="A84" t="s">
        <v>544</v>
      </c>
      <c r="B84">
        <v>2012</v>
      </c>
      <c r="C84" t="s">
        <v>26</v>
      </c>
      <c r="D84" t="s">
        <v>545</v>
      </c>
      <c r="E84" t="s">
        <v>546</v>
      </c>
      <c r="F84" t="s">
        <v>339</v>
      </c>
      <c r="G84" t="s">
        <v>547</v>
      </c>
      <c r="H84" s="1">
        <v>6100000000</v>
      </c>
      <c r="I84">
        <v>600</v>
      </c>
      <c r="J84" t="s">
        <v>548</v>
      </c>
      <c r="K84" t="s">
        <v>549</v>
      </c>
      <c r="L84">
        <v>4.5999999999999996</v>
      </c>
      <c r="M84">
        <v>100000000</v>
      </c>
      <c r="N84">
        <v>6100000000</v>
      </c>
      <c r="O84">
        <v>425000000</v>
      </c>
      <c r="P84">
        <v>600</v>
      </c>
      <c r="Q84" s="1">
        <v>166667</v>
      </c>
      <c r="R84" t="str">
        <f t="shared" si="2"/>
        <v>Modern</v>
      </c>
    </row>
    <row r="85" spans="1:18" x14ac:dyDescent="0.2">
      <c r="A85" t="s">
        <v>550</v>
      </c>
      <c r="B85">
        <v>2011</v>
      </c>
      <c r="C85" t="s">
        <v>551</v>
      </c>
      <c r="D85" t="s">
        <v>552</v>
      </c>
      <c r="E85" t="s">
        <v>105</v>
      </c>
      <c r="F85" t="s">
        <v>211</v>
      </c>
      <c r="G85" t="s">
        <v>278</v>
      </c>
      <c r="H85" s="1">
        <v>13000000000</v>
      </c>
      <c r="I85">
        <v>3000</v>
      </c>
      <c r="J85" t="s">
        <v>553</v>
      </c>
      <c r="K85" t="s">
        <v>554</v>
      </c>
      <c r="L85">
        <v>4.5</v>
      </c>
      <c r="M85">
        <v>600000000</v>
      </c>
      <c r="N85">
        <v>13000000000</v>
      </c>
      <c r="O85">
        <v>1400000000</v>
      </c>
      <c r="P85">
        <v>3000</v>
      </c>
      <c r="Q85" s="1">
        <v>200000</v>
      </c>
      <c r="R85" t="str">
        <f t="shared" si="2"/>
        <v>Modern</v>
      </c>
    </row>
    <row r="86" spans="1:18" x14ac:dyDescent="0.2">
      <c r="A86" t="s">
        <v>555</v>
      </c>
      <c r="B86">
        <v>2011</v>
      </c>
      <c r="C86" t="s">
        <v>56</v>
      </c>
      <c r="D86" t="s">
        <v>146</v>
      </c>
      <c r="E86" t="s">
        <v>556</v>
      </c>
      <c r="F86" t="s">
        <v>339</v>
      </c>
      <c r="G86" t="s">
        <v>185</v>
      </c>
      <c r="H86" s="1">
        <v>2000000000</v>
      </c>
      <c r="I86">
        <v>800</v>
      </c>
      <c r="J86" t="s">
        <v>557</v>
      </c>
      <c r="K86" t="s">
        <v>558</v>
      </c>
      <c r="L86">
        <v>4.5</v>
      </c>
      <c r="M86">
        <v>100000000</v>
      </c>
      <c r="N86">
        <v>2000000000</v>
      </c>
      <c r="O86">
        <v>347000000</v>
      </c>
      <c r="P86">
        <v>800</v>
      </c>
      <c r="Q86" s="1">
        <v>125000</v>
      </c>
      <c r="R86" t="str">
        <f t="shared" si="2"/>
        <v>Modern</v>
      </c>
    </row>
    <row r="87" spans="1:18" x14ac:dyDescent="0.2">
      <c r="A87" t="s">
        <v>559</v>
      </c>
      <c r="B87">
        <v>2012</v>
      </c>
      <c r="C87" t="s">
        <v>26</v>
      </c>
      <c r="D87" t="s">
        <v>560</v>
      </c>
      <c r="E87" t="s">
        <v>561</v>
      </c>
      <c r="F87" t="s">
        <v>339</v>
      </c>
      <c r="G87" t="s">
        <v>383</v>
      </c>
      <c r="H87" s="1">
        <v>2300000000</v>
      </c>
      <c r="I87">
        <v>700</v>
      </c>
      <c r="J87" t="s">
        <v>562</v>
      </c>
      <c r="K87" t="s">
        <v>563</v>
      </c>
      <c r="L87">
        <v>4.5999999999999996</v>
      </c>
      <c r="M87">
        <v>100000000</v>
      </c>
      <c r="N87">
        <v>2300000000</v>
      </c>
      <c r="O87">
        <v>334000000</v>
      </c>
      <c r="P87">
        <v>700</v>
      </c>
      <c r="Q87" s="1">
        <v>142857</v>
      </c>
      <c r="R87" t="str">
        <f t="shared" si="2"/>
        <v>Modern</v>
      </c>
    </row>
    <row r="88" spans="1:18" x14ac:dyDescent="0.2">
      <c r="A88" t="s">
        <v>564</v>
      </c>
      <c r="B88">
        <v>2015</v>
      </c>
      <c r="C88" t="s">
        <v>26</v>
      </c>
      <c r="D88" t="s">
        <v>565</v>
      </c>
      <c r="E88" t="s">
        <v>566</v>
      </c>
      <c r="F88" t="s">
        <v>567</v>
      </c>
      <c r="G88" t="s">
        <v>161</v>
      </c>
      <c r="H88" s="1">
        <v>12000000000</v>
      </c>
      <c r="I88">
        <v>2100</v>
      </c>
      <c r="J88" t="s">
        <v>568</v>
      </c>
      <c r="K88" t="s">
        <v>569</v>
      </c>
      <c r="L88">
        <v>4.4000000000000004</v>
      </c>
      <c r="M88">
        <v>856000000</v>
      </c>
      <c r="N88">
        <v>12000000000</v>
      </c>
      <c r="O88">
        <v>930000000</v>
      </c>
      <c r="P88">
        <v>2100</v>
      </c>
      <c r="Q88" s="1">
        <v>407619</v>
      </c>
      <c r="R88" t="str">
        <f t="shared" si="2"/>
        <v>Modern</v>
      </c>
    </row>
    <row r="89" spans="1:18" x14ac:dyDescent="0.2">
      <c r="A89" t="s">
        <v>570</v>
      </c>
      <c r="B89">
        <v>2016</v>
      </c>
      <c r="C89" t="s">
        <v>240</v>
      </c>
      <c r="D89" t="s">
        <v>571</v>
      </c>
      <c r="E89" t="s">
        <v>572</v>
      </c>
      <c r="F89" t="s">
        <v>134</v>
      </c>
      <c r="G89" t="s">
        <v>573</v>
      </c>
      <c r="H89" s="1">
        <v>3200000000</v>
      </c>
      <c r="I89">
        <v>1600</v>
      </c>
      <c r="J89" t="s">
        <v>574</v>
      </c>
      <c r="K89" t="s">
        <v>391</v>
      </c>
      <c r="L89">
        <v>4.7</v>
      </c>
      <c r="M89">
        <v>400000000</v>
      </c>
      <c r="N89">
        <v>3200000000</v>
      </c>
      <c r="O89">
        <v>460000000</v>
      </c>
      <c r="P89">
        <v>1600</v>
      </c>
      <c r="Q89" s="1">
        <v>250000</v>
      </c>
      <c r="R89" t="str">
        <f t="shared" si="2"/>
        <v>Modern</v>
      </c>
    </row>
    <row r="90" spans="1:18" x14ac:dyDescent="0.2">
      <c r="A90" t="s">
        <v>575</v>
      </c>
      <c r="B90">
        <v>2008</v>
      </c>
      <c r="C90" t="s">
        <v>576</v>
      </c>
      <c r="D90" t="s">
        <v>216</v>
      </c>
      <c r="E90" t="s">
        <v>577</v>
      </c>
      <c r="F90" t="s">
        <v>578</v>
      </c>
      <c r="G90" t="s">
        <v>579</v>
      </c>
      <c r="H90" s="1">
        <v>5700000000</v>
      </c>
      <c r="I90">
        <v>1000</v>
      </c>
      <c r="J90" t="s">
        <v>580</v>
      </c>
      <c r="K90" t="s">
        <v>221</v>
      </c>
      <c r="L90">
        <v>4.4000000000000004</v>
      </c>
      <c r="M90">
        <v>265000000</v>
      </c>
      <c r="N90">
        <v>5700000000</v>
      </c>
      <c r="O90">
        <v>228500000</v>
      </c>
      <c r="P90">
        <v>1000</v>
      </c>
      <c r="Q90" s="1">
        <v>265000</v>
      </c>
      <c r="R90" t="str">
        <f t="shared" si="2"/>
        <v>Legacy</v>
      </c>
    </row>
    <row r="91" spans="1:18" x14ac:dyDescent="0.2">
      <c r="A91" t="s">
        <v>581</v>
      </c>
      <c r="B91">
        <v>2012</v>
      </c>
      <c r="C91" t="s">
        <v>64</v>
      </c>
      <c r="D91" t="s">
        <v>387</v>
      </c>
      <c r="E91" t="s">
        <v>105</v>
      </c>
      <c r="F91" t="s">
        <v>205</v>
      </c>
      <c r="G91" t="s">
        <v>401</v>
      </c>
      <c r="H91" s="1">
        <v>7500000000</v>
      </c>
      <c r="I91">
        <v>2500</v>
      </c>
      <c r="J91" t="s">
        <v>582</v>
      </c>
      <c r="K91" t="s">
        <v>583</v>
      </c>
      <c r="L91">
        <v>4.5999999999999996</v>
      </c>
      <c r="M91">
        <v>500000000</v>
      </c>
      <c r="N91">
        <v>7500000000</v>
      </c>
      <c r="O91">
        <v>1400000000</v>
      </c>
      <c r="P91">
        <v>2500</v>
      </c>
      <c r="Q91" s="1">
        <v>200000</v>
      </c>
      <c r="R91" t="str">
        <f t="shared" si="2"/>
        <v>Modern</v>
      </c>
    </row>
    <row r="92" spans="1:18" x14ac:dyDescent="0.2">
      <c r="A92" t="s">
        <v>584</v>
      </c>
      <c r="B92">
        <v>2016</v>
      </c>
      <c r="C92" t="s">
        <v>320</v>
      </c>
      <c r="D92" t="s">
        <v>585</v>
      </c>
      <c r="E92" t="s">
        <v>586</v>
      </c>
      <c r="F92" t="s">
        <v>205</v>
      </c>
      <c r="G92" t="s">
        <v>587</v>
      </c>
      <c r="H92" s="1">
        <v>5300000000</v>
      </c>
      <c r="I92">
        <v>2500</v>
      </c>
      <c r="J92" t="s">
        <v>588</v>
      </c>
      <c r="K92" t="s">
        <v>589</v>
      </c>
      <c r="L92">
        <v>4.3</v>
      </c>
      <c r="M92">
        <v>500000000</v>
      </c>
      <c r="N92">
        <v>5300000000</v>
      </c>
      <c r="O92">
        <v>920000000</v>
      </c>
      <c r="P92">
        <v>2500</v>
      </c>
      <c r="Q92" s="1">
        <v>200000</v>
      </c>
      <c r="R92" t="str">
        <f t="shared" si="2"/>
        <v>Modern</v>
      </c>
    </row>
    <row r="93" spans="1:18" x14ac:dyDescent="0.2">
      <c r="A93" t="s">
        <v>590</v>
      </c>
      <c r="B93">
        <v>2007</v>
      </c>
      <c r="C93" t="s">
        <v>591</v>
      </c>
      <c r="D93" t="s">
        <v>592</v>
      </c>
      <c r="E93" t="s">
        <v>20</v>
      </c>
      <c r="F93" t="s">
        <v>205</v>
      </c>
      <c r="G93" t="s">
        <v>252</v>
      </c>
      <c r="H93" s="1">
        <v>9500000000</v>
      </c>
      <c r="I93">
        <v>2000</v>
      </c>
      <c r="J93" t="s">
        <v>593</v>
      </c>
      <c r="K93" t="s">
        <v>594</v>
      </c>
      <c r="L93">
        <v>4.2</v>
      </c>
      <c r="M93">
        <v>500000000</v>
      </c>
      <c r="N93">
        <v>9500000000</v>
      </c>
      <c r="O93">
        <v>1000000000</v>
      </c>
      <c r="P93">
        <v>2000</v>
      </c>
      <c r="Q93" s="1">
        <v>250000</v>
      </c>
      <c r="R93" t="str">
        <f t="shared" si="2"/>
        <v>Legacy</v>
      </c>
    </row>
    <row r="94" spans="1:18" x14ac:dyDescent="0.2">
      <c r="A94" t="s">
        <v>595</v>
      </c>
      <c r="B94">
        <v>2014</v>
      </c>
      <c r="C94" t="s">
        <v>539</v>
      </c>
      <c r="D94" t="s">
        <v>596</v>
      </c>
      <c r="E94" t="s">
        <v>597</v>
      </c>
      <c r="F94" t="s">
        <v>211</v>
      </c>
      <c r="G94" t="s">
        <v>598</v>
      </c>
      <c r="H94" s="1">
        <v>6000000000</v>
      </c>
      <c r="I94">
        <v>2600</v>
      </c>
      <c r="J94" t="s">
        <v>599</v>
      </c>
      <c r="K94" t="s">
        <v>600</v>
      </c>
      <c r="L94">
        <v>4.5999999999999996</v>
      </c>
      <c r="M94">
        <v>600000000</v>
      </c>
      <c r="N94">
        <v>6000000000</v>
      </c>
      <c r="O94">
        <v>750000000</v>
      </c>
      <c r="P94">
        <v>2600</v>
      </c>
      <c r="Q94" s="1">
        <v>230769</v>
      </c>
      <c r="R94" t="str">
        <f t="shared" si="2"/>
        <v>Modern</v>
      </c>
    </row>
    <row r="95" spans="1:18" x14ac:dyDescent="0.2">
      <c r="A95" t="s">
        <v>601</v>
      </c>
      <c r="B95">
        <v>2008</v>
      </c>
      <c r="C95" t="s">
        <v>26</v>
      </c>
      <c r="D95" t="s">
        <v>602</v>
      </c>
      <c r="E95" t="s">
        <v>603</v>
      </c>
      <c r="F95" t="s">
        <v>211</v>
      </c>
      <c r="G95" t="s">
        <v>604</v>
      </c>
      <c r="H95" s="1">
        <v>3700000000</v>
      </c>
      <c r="I95">
        <v>2000</v>
      </c>
      <c r="J95" t="s">
        <v>599</v>
      </c>
      <c r="K95" t="s">
        <v>605</v>
      </c>
      <c r="L95">
        <v>4.3</v>
      </c>
      <c r="M95">
        <v>600000000</v>
      </c>
      <c r="N95">
        <v>3700000000</v>
      </c>
      <c r="O95">
        <v>315000000</v>
      </c>
      <c r="P95">
        <v>2000</v>
      </c>
      <c r="Q95" s="1">
        <v>300000</v>
      </c>
      <c r="R95" t="str">
        <f t="shared" si="2"/>
        <v>Legacy</v>
      </c>
    </row>
    <row r="96" spans="1:18" x14ac:dyDescent="0.2">
      <c r="A96" t="s">
        <v>606</v>
      </c>
      <c r="B96">
        <v>2015</v>
      </c>
      <c r="C96" t="s">
        <v>248</v>
      </c>
      <c r="D96" t="s">
        <v>607</v>
      </c>
      <c r="E96" t="s">
        <v>105</v>
      </c>
      <c r="F96" t="s">
        <v>315</v>
      </c>
      <c r="G96" t="s">
        <v>509</v>
      </c>
      <c r="H96" s="1">
        <v>7400000000</v>
      </c>
      <c r="I96">
        <v>1300</v>
      </c>
      <c r="J96" t="s">
        <v>608</v>
      </c>
      <c r="K96" t="s">
        <v>609</v>
      </c>
      <c r="L96">
        <v>4.5</v>
      </c>
      <c r="M96">
        <v>200000000</v>
      </c>
      <c r="N96">
        <v>7400000000</v>
      </c>
      <c r="O96">
        <v>1400000000</v>
      </c>
      <c r="P96">
        <v>1300</v>
      </c>
      <c r="Q96" s="1">
        <v>153846</v>
      </c>
      <c r="R96" t="str">
        <f t="shared" si="2"/>
        <v>Modern</v>
      </c>
    </row>
    <row r="97" spans="1:18" x14ac:dyDescent="0.2">
      <c r="A97" t="s">
        <v>610</v>
      </c>
      <c r="B97">
        <v>2011</v>
      </c>
      <c r="C97" t="s">
        <v>26</v>
      </c>
      <c r="D97" t="s">
        <v>611</v>
      </c>
      <c r="E97" t="s">
        <v>603</v>
      </c>
      <c r="F97" t="s">
        <v>339</v>
      </c>
      <c r="G97" t="s">
        <v>127</v>
      </c>
      <c r="H97" s="1">
        <v>1700000000</v>
      </c>
      <c r="I97">
        <v>500</v>
      </c>
      <c r="J97" t="s">
        <v>612</v>
      </c>
      <c r="K97" t="s">
        <v>613</v>
      </c>
      <c r="L97">
        <v>4.4000000000000004</v>
      </c>
      <c r="M97">
        <v>100000000</v>
      </c>
      <c r="N97">
        <v>1700000000</v>
      </c>
      <c r="O97">
        <v>315000000</v>
      </c>
      <c r="P97">
        <v>500</v>
      </c>
      <c r="Q97" s="1">
        <v>200000</v>
      </c>
      <c r="R97" t="str">
        <f t="shared" si="2"/>
        <v>Modern</v>
      </c>
    </row>
    <row r="98" spans="1:18" x14ac:dyDescent="0.2">
      <c r="A98" t="s">
        <v>614</v>
      </c>
      <c r="B98">
        <v>2012</v>
      </c>
      <c r="C98" t="s">
        <v>615</v>
      </c>
      <c r="D98" t="s">
        <v>616</v>
      </c>
      <c r="E98" t="s">
        <v>452</v>
      </c>
      <c r="F98" t="s">
        <v>617</v>
      </c>
      <c r="G98" t="s">
        <v>252</v>
      </c>
      <c r="H98" s="1">
        <v>9500000000</v>
      </c>
      <c r="I98">
        <v>2700</v>
      </c>
      <c r="J98" t="s">
        <v>618</v>
      </c>
      <c r="K98" t="s">
        <v>619</v>
      </c>
      <c r="L98">
        <v>4.2</v>
      </c>
      <c r="M98">
        <v>685000000</v>
      </c>
      <c r="N98">
        <v>9500000000</v>
      </c>
      <c r="O98">
        <v>1500000000</v>
      </c>
      <c r="P98">
        <v>2700</v>
      </c>
      <c r="Q98" s="1">
        <v>253704</v>
      </c>
      <c r="R98" t="str">
        <f t="shared" si="2"/>
        <v>Modern</v>
      </c>
    </row>
    <row r="99" spans="1:18" x14ac:dyDescent="0.2">
      <c r="A99" t="s">
        <v>620</v>
      </c>
      <c r="B99">
        <v>2002</v>
      </c>
      <c r="C99" t="s">
        <v>621</v>
      </c>
      <c r="D99" t="s">
        <v>622</v>
      </c>
      <c r="E99" t="s">
        <v>623</v>
      </c>
      <c r="F99" t="s">
        <v>624</v>
      </c>
      <c r="G99" t="s">
        <v>435</v>
      </c>
      <c r="H99" s="1">
        <v>9000000000</v>
      </c>
      <c r="I99">
        <v>3200</v>
      </c>
      <c r="J99" t="s">
        <v>625</v>
      </c>
      <c r="K99" t="s">
        <v>626</v>
      </c>
      <c r="L99">
        <v>4.5</v>
      </c>
      <c r="M99">
        <v>943000000</v>
      </c>
      <c r="N99">
        <v>9000000000</v>
      </c>
      <c r="O99">
        <v>899000000</v>
      </c>
      <c r="P99">
        <v>3200</v>
      </c>
      <c r="Q99" s="1">
        <v>294688</v>
      </c>
      <c r="R99" t="str">
        <f t="shared" si="2"/>
        <v>Legacy</v>
      </c>
    </row>
    <row r="100" spans="1:18" x14ac:dyDescent="0.2">
      <c r="A100" t="s">
        <v>627</v>
      </c>
      <c r="B100">
        <v>2005</v>
      </c>
      <c r="C100" t="s">
        <v>26</v>
      </c>
      <c r="D100" t="s">
        <v>628</v>
      </c>
      <c r="E100" t="s">
        <v>629</v>
      </c>
      <c r="F100" t="s">
        <v>134</v>
      </c>
      <c r="G100" t="s">
        <v>401</v>
      </c>
      <c r="H100" s="1">
        <v>7500000000</v>
      </c>
      <c r="I100">
        <v>2000</v>
      </c>
      <c r="J100" t="s">
        <v>630</v>
      </c>
      <c r="K100" t="s">
        <v>631</v>
      </c>
      <c r="L100">
        <v>4.4000000000000004</v>
      </c>
      <c r="M100">
        <v>400000000</v>
      </c>
      <c r="N100">
        <v>7500000000</v>
      </c>
      <c r="O100">
        <v>987000000</v>
      </c>
      <c r="P100">
        <v>2000</v>
      </c>
      <c r="Q100" s="1">
        <v>200000</v>
      </c>
      <c r="R100" t="str">
        <f t="shared" si="2"/>
        <v>Legacy</v>
      </c>
    </row>
    <row r="101" spans="1:18" x14ac:dyDescent="0.2">
      <c r="A101" t="s">
        <v>632</v>
      </c>
      <c r="B101">
        <v>2004</v>
      </c>
      <c r="C101" t="s">
        <v>138</v>
      </c>
      <c r="D101" t="s">
        <v>633</v>
      </c>
      <c r="E101" t="s">
        <v>634</v>
      </c>
      <c r="F101" t="s">
        <v>635</v>
      </c>
      <c r="G101" t="s">
        <v>452</v>
      </c>
      <c r="H101" s="1">
        <v>1500000000</v>
      </c>
      <c r="I101">
        <v>1200</v>
      </c>
      <c r="J101" t="s">
        <v>636</v>
      </c>
      <c r="K101" t="s">
        <v>633</v>
      </c>
      <c r="L101">
        <v>4.2</v>
      </c>
      <c r="M101">
        <v>433000000</v>
      </c>
      <c r="N101">
        <v>1500000000</v>
      </c>
      <c r="O101">
        <v>450000000</v>
      </c>
      <c r="P101">
        <v>1200</v>
      </c>
      <c r="Q101" s="1">
        <v>360833</v>
      </c>
      <c r="R101" t="str">
        <f t="shared" si="2"/>
        <v>Legacy</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Company_Valuations</vt:lpstr>
      <vt:lpstr>SaaS_Final_Cleaned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Chinoya Njere</dc:creator>
  <cp:lastModifiedBy>Chinoya Njere</cp:lastModifiedBy>
  <dcterms:created xsi:type="dcterms:W3CDTF">2026-04-06T23:12:37Z</dcterms:created>
  <dcterms:modified xsi:type="dcterms:W3CDTF">2026-04-07T04:48:43Z</dcterms:modified>
</cp:coreProperties>
</file>